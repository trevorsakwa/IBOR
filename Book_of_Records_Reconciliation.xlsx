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BOR - Book of Records" sheetId="1" state="visible" r:id="rId3"/>
    <sheet name="Custodian Reconciliation" sheetId="2" state="visible" r:id="rId4"/>
    <sheet name="Market Data Reconciliation" sheetId="3" state="visible" r:id="rId5"/>
    <sheet name="Corporate Actions" sheetId="4" state="visible" r:id="rId6"/>
    <sheet name="Regulatory Reference" sheetId="5" state="visible" r:id="rId7"/>
    <sheet name="Recon Controls Framework" sheetId="6" state="visible" r:id="rId8"/>
    <sheet name="Legend &amp; Instruc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<sst xmlns="http://schemas.openxmlformats.org/spreadsheetml/2006/main" count="494" uniqueCount="366">
  <si>
    <t xml:space="preserve">INVESTMENT BOOK OF RECORDS (IBOR) — As at 30 June 2026</t>
  </si>
  <si>
    <t xml:space="preserve">Fund: Rathbones Multi-Asset Growth Fund  |  Fund Manager: J. Smith  |  Custodian: BNY Mellon  |  Market Data: Bloomberg</t>
  </si>
  <si>
    <t xml:space="preserve">Security ID
(ISIN)</t>
  </si>
  <si>
    <t xml:space="preserve">Security Name</t>
  </si>
  <si>
    <t xml:space="preserve">Asset Class</t>
  </si>
  <si>
    <t xml:space="preserve">CCY</t>
  </si>
  <si>
    <t xml:space="preserve">Quantity
(Units)</t>
  </si>
  <si>
    <t xml:space="preserve">Avg Cost
Price</t>
  </si>
  <si>
    <t xml:space="preserve">Cost Basis
(GBP)</t>
  </si>
  <si>
    <t xml:space="preserve">Market Price
(Close)</t>
  </si>
  <si>
    <t xml:space="preserve">Price Source</t>
  </si>
  <si>
    <t xml:space="preserve">Market Value
(GBP)</t>
  </si>
  <si>
    <t xml:space="preserve">Unrealised
P&amp;L (GBP)</t>
  </si>
  <si>
    <t xml:space="preserve">Weight
(%)</t>
  </si>
  <si>
    <t xml:space="preserve">Custodian
Qty</t>
  </si>
  <si>
    <t xml:space="preserve">Qty
Variance</t>
  </si>
  <si>
    <t xml:space="preserve">Custodian
Mkt Value</t>
  </si>
  <si>
    <t xml:space="preserve">Value
Variance</t>
  </si>
  <si>
    <t xml:space="preserve">GB00B3FFY088</t>
  </si>
  <si>
    <t xml:space="preserve">Shell PLC</t>
  </si>
  <si>
    <t xml:space="preserve">UK Equity</t>
  </si>
  <si>
    <t xml:space="preserve">GBP</t>
  </si>
  <si>
    <t xml:space="preserve">Bloomberg</t>
  </si>
  <si>
    <t xml:space="preserve">GB0007188757</t>
  </si>
  <si>
    <t xml:space="preserve">Rio Tinto PLC</t>
  </si>
  <si>
    <t xml:space="preserve">US0378331005</t>
  </si>
  <si>
    <t xml:space="preserve">Apple Inc</t>
  </si>
  <si>
    <t xml:space="preserve">US Equity</t>
  </si>
  <si>
    <t xml:space="preserve">USD</t>
  </si>
  <si>
    <t xml:space="preserve">DE0007164600</t>
  </si>
  <si>
    <t xml:space="preserve">SAP SE</t>
  </si>
  <si>
    <t xml:space="preserve">EU Equity</t>
  </si>
  <si>
    <t xml:space="preserve">EUR</t>
  </si>
  <si>
    <t xml:space="preserve">GB00B24CGK77</t>
  </si>
  <si>
    <t xml:space="preserve">Reckitt Benckiser</t>
  </si>
  <si>
    <t xml:space="preserve">XS2530200896</t>
  </si>
  <si>
    <t xml:space="preserve">UK Gilt 3.5% 2028</t>
  </si>
  <si>
    <t xml:space="preserve">Fixed Income</t>
  </si>
  <si>
    <t xml:space="preserve">GB00BHJYC057</t>
  </si>
  <si>
    <t xml:space="preserve">iShares Core FTSE 100</t>
  </si>
  <si>
    <t xml:space="preserve">ETF</t>
  </si>
  <si>
    <t xml:space="preserve">CASH_GBP</t>
  </si>
  <si>
    <t xml:space="preserve">GBP Cash Balance</t>
  </si>
  <si>
    <t xml:space="preserve">Cash</t>
  </si>
  <si>
    <t xml:space="preserve">Internal</t>
  </si>
  <si>
    <t xml:space="preserve">TOTAL</t>
  </si>
  <si>
    <t xml:space="preserve">CUSTODIAN STATEMENT RECONCILIATION — BNY Mellon vs IBOR — 30 June 2026</t>
  </si>
  <si>
    <t xml:space="preserve">Reconciliation Frequency: Daily (T+1)  |  Tolerance: Quantity = 0 units; Value = ±£500  |  Regulation: FCA CASS 6.6, SYSC 9.1</t>
  </si>
  <si>
    <t xml:space="preserve">ISIN</t>
  </si>
  <si>
    <t xml:space="preserve">IBOR
Quantity</t>
  </si>
  <si>
    <t xml:space="preserve">Custodian
Quantity</t>
  </si>
  <si>
    <t xml:space="preserve">Qty
Difference</t>
  </si>
  <si>
    <t xml:space="preserve">IBOR Market
Value (GBP)</t>
  </si>
  <si>
    <t xml:space="preserve">Custodian Market
Value (GBP)</t>
  </si>
  <si>
    <t xml:space="preserve">Value
Difference (GBP)</t>
  </si>
  <si>
    <t xml:space="preserve">Status</t>
  </si>
  <si>
    <t xml:space="preserve">Break
Reason</t>
  </si>
  <si>
    <t xml:space="preserve">Action
Required</t>
  </si>
  <si>
    <t xml:space="preserve">Resolution
Date</t>
  </si>
  <si>
    <t xml:space="preserve">Corp action
pending</t>
  </si>
  <si>
    <t xml:space="preserve">Investigate
bonus shares</t>
  </si>
  <si>
    <t xml:space="preserve">Unsettled
trade T+2</t>
  </si>
  <si>
    <t xml:space="preserve">Confirm
settlement</t>
  </si>
  <si>
    <t xml:space="preserve">RECONCILIATION SUMMARY</t>
  </si>
  <si>
    <t xml:space="preserve">Total Positions:</t>
  </si>
  <si>
    <t xml:space="preserve">Matched:</t>
  </si>
  <si>
    <t xml:space="preserve">Breaks:</t>
  </si>
  <si>
    <t xml:space="preserve">Match Rate:</t>
  </si>
  <si>
    <t xml:space="preserve">MARKET DATA VENDOR PRICE RECONCILIATION — 30 June 2026</t>
  </si>
  <si>
    <t xml:space="preserve">Primary: Bloomberg  |  Secondary: Refinitiv  |  Tolerance: ±0.5%  |  Regulation: FCA FUND 3.9, COBS 11.5A</t>
  </si>
  <si>
    <t xml:space="preserve">Bloomberg
Close Price</t>
  </si>
  <si>
    <t xml:space="preserve">Refinitiv
Close Price</t>
  </si>
  <si>
    <t xml:space="preserve">Custodian
Price</t>
  </si>
  <si>
    <t xml:space="preserve">Bloom vs
Refin Diff</t>
  </si>
  <si>
    <t xml:space="preserve">Bloom vs
Refin %</t>
  </si>
  <si>
    <t xml:space="preserve">Bloom vs
Custodian Diff</t>
  </si>
  <si>
    <t xml:space="preserve">Bloom vs
Custodian %</t>
  </si>
  <si>
    <t xml:space="preserve">Price Used
in IBOR</t>
  </si>
  <si>
    <t xml:space="preserve">Override
Reason</t>
  </si>
  <si>
    <t xml:space="preserve">Approved By</t>
  </si>
  <si>
    <t xml:space="preserve">STALE PRICE CHECK</t>
  </si>
  <si>
    <t xml:space="preserve">Today Price</t>
  </si>
  <si>
    <t xml:space="preserve">Prior Day Price</t>
  </si>
  <si>
    <t xml:space="preserve">Day Change %</t>
  </si>
  <si>
    <t xml:space="preserve">Days Unchanged</t>
  </si>
  <si>
    <t xml:space="preserve">OK</t>
  </si>
  <si>
    <t xml:space="preserve">REVIEW</t>
  </si>
  <si>
    <t xml:space="preserve">CORPORATE ACTIONS PROCESSING &amp; RECONCILIATION LOG — Q2 2026</t>
  </si>
  <si>
    <t xml:space="preserve">Source: Bloomberg CACT / BNY Mellon Custodian Notifications  |  Regulation: COBS 11.3, COBS 11.5A, CASS 6</t>
  </si>
  <si>
    <t xml:space="preserve">Event ID</t>
  </si>
  <si>
    <t xml:space="preserve">Event Type</t>
  </si>
  <si>
    <t xml:space="preserve">Announce
Date</t>
  </si>
  <si>
    <t xml:space="preserve">Ex-Date</t>
  </si>
  <si>
    <t xml:space="preserve">Record
Date</t>
  </si>
  <si>
    <t xml:space="preserve">Pay Date</t>
  </si>
  <si>
    <t xml:space="preserve">Rate /
Terms</t>
  </si>
  <si>
    <t xml:space="preserve">Qty Held
(Ex-Date)</t>
  </si>
  <si>
    <t xml:space="preserve">Entitlement
(IBOR Calc)</t>
  </si>
  <si>
    <t xml:space="preserve">Custodian
Entitlement</t>
  </si>
  <si>
    <t xml:space="preserve">Entitlement
Variance</t>
  </si>
  <si>
    <t xml:space="preserve">Amount
Received (GBP)</t>
  </si>
  <si>
    <t xml:space="preserve">Notes</t>
  </si>
  <si>
    <t xml:space="preserve">CA-2026-001</t>
  </si>
  <si>
    <t xml:space="preserve">Cash Dividend</t>
  </si>
  <si>
    <t xml:space="preserve">01/05/2026</t>
  </si>
  <si>
    <t xml:space="preserve">15/05/2026</t>
  </si>
  <si>
    <t xml:space="preserve">16/05/2026</t>
  </si>
  <si>
    <t xml:space="preserve">28/06/2026</t>
  </si>
  <si>
    <t xml:space="preserve">GBP 0.287 per share</t>
  </si>
  <si>
    <t xml:space="preserve">Settled</t>
  </si>
  <si>
    <t xml:space="preserve">Q1 2026 interim dividend</t>
  </si>
  <si>
    <t xml:space="preserve">CA-2026-002</t>
  </si>
  <si>
    <t xml:space="preserve">22/04/2026</t>
  </si>
  <si>
    <t xml:space="preserve">08/05/2026</t>
  </si>
  <si>
    <t xml:space="preserve">09/05/2026</t>
  </si>
  <si>
    <t xml:space="preserve">19/06/2026</t>
  </si>
  <si>
    <t xml:space="preserve">USD 2.25 per share</t>
  </si>
  <si>
    <t xml:space="preserve">Final dividend FY2025</t>
  </si>
  <si>
    <t xml:space="preserve">CA-2026-003</t>
  </si>
  <si>
    <t xml:space="preserve">Bonus Issue</t>
  </si>
  <si>
    <t xml:space="preserve">10/06/2026</t>
  </si>
  <si>
    <t xml:space="preserve">25/06/2026</t>
  </si>
  <si>
    <t xml:space="preserve">26/06/2026</t>
  </si>
  <si>
    <t xml:space="preserve">30/06/2026</t>
  </si>
  <si>
    <t xml:space="preserve">1 new for 120 held</t>
  </si>
  <si>
    <t xml:space="preserve">Pending</t>
  </si>
  <si>
    <t xml:space="preserve">Awaiting custodian
confirmation</t>
  </si>
  <si>
    <t xml:space="preserve">CA-2026-004</t>
  </si>
  <si>
    <t xml:space="preserve">Stock Split</t>
  </si>
  <si>
    <t xml:space="preserve">01/04/2026</t>
  </si>
  <si>
    <t xml:space="preserve">15/04/2026</t>
  </si>
  <si>
    <t xml:space="preserve">14/04/2026</t>
  </si>
  <si>
    <t xml:space="preserve">4:1 split</t>
  </si>
  <si>
    <t xml:space="preserve">N/A</t>
  </si>
  <si>
    <t xml:space="preserve">Pre-split qty 10,000;
post-split 40,000</t>
  </si>
  <si>
    <t xml:space="preserve">CA-2026-005</t>
  </si>
  <si>
    <t xml:space="preserve">Coupon Payment</t>
  </si>
  <si>
    <t xml:space="preserve">01/01/2026</t>
  </si>
  <si>
    <t xml:space="preserve">22/06/2026</t>
  </si>
  <si>
    <t xml:space="preserve">3.5% semi-annual</t>
  </si>
  <si>
    <t xml:space="preserve">Semi-annual coupon</t>
  </si>
  <si>
    <t xml:space="preserve">CA-2026-006</t>
  </si>
  <si>
    <t xml:space="preserve">Rights Issue</t>
  </si>
  <si>
    <t xml:space="preserve">20/05/2026</t>
  </si>
  <si>
    <t xml:space="preserve">05/06/2026</t>
  </si>
  <si>
    <t xml:space="preserve">06/06/2026</t>
  </si>
  <si>
    <t xml:space="preserve">20/06/2026</t>
  </si>
  <si>
    <t xml:space="preserve">1 right per 10 shares
at EUR 150</t>
  </si>
  <si>
    <t xml:space="preserve">Elected</t>
  </si>
  <si>
    <t xml:space="preserve">Elected to take up
full entitlement</t>
  </si>
  <si>
    <t xml:space="preserve">CORPORATE ACTION PROCESSING CHECKLIST</t>
  </si>
  <si>
    <t xml:space="preserve">Step</t>
  </si>
  <si>
    <t xml:space="preserve">Description</t>
  </si>
  <si>
    <t xml:space="preserve">Responsible</t>
  </si>
  <si>
    <t xml:space="preserve">Completed</t>
  </si>
  <si>
    <t xml:space="preserve">Date</t>
  </si>
  <si>
    <t xml:space="preserve">Regulatory Basis</t>
  </si>
  <si>
    <t xml:space="preserve">1</t>
  </si>
  <si>
    <t xml:space="preserve">Event notification received from custodian / Bloomberg</t>
  </si>
  <si>
    <t xml:space="preserve">Operations</t>
  </si>
  <si>
    <t xml:space="preserve">Yes</t>
  </si>
  <si>
    <t xml:space="preserve">Same day</t>
  </si>
  <si>
    <t xml:space="preserve">COBS 11.3</t>
  </si>
  <si>
    <t xml:space="preserve">2</t>
  </si>
  <si>
    <t xml:space="preserve">Event details verified against multiple sources</t>
  </si>
  <si>
    <t xml:space="preserve">T+1</t>
  </si>
  <si>
    <t xml:space="preserve">SYSC 9.1</t>
  </si>
  <si>
    <t xml:space="preserve">3</t>
  </si>
  <si>
    <t xml:space="preserve">Entitlement calculated and cross-checked</t>
  </si>
  <si>
    <t xml:space="preserve">Middle Office</t>
  </si>
  <si>
    <t xml:space="preserve">CASS 6.6</t>
  </si>
  <si>
    <t xml:space="preserve">4</t>
  </si>
  <si>
    <t xml:space="preserve">Election decision recorded (if voluntary)</t>
  </si>
  <si>
    <t xml:space="preserve">Portfolio Mgr</t>
  </si>
  <si>
    <t xml:space="preserve">Before deadline</t>
  </si>
  <si>
    <t xml:space="preserve">COBS 11.5A</t>
  </si>
  <si>
    <t xml:space="preserve">5</t>
  </si>
  <si>
    <t xml:space="preserve">Custodian entitlement matched to IBOR calculation</t>
  </si>
  <si>
    <t xml:space="preserve">Pay date</t>
  </si>
  <si>
    <t xml:space="preserve">6</t>
  </si>
  <si>
    <t xml:space="preserve">Cash / securities received and booked</t>
  </si>
  <si>
    <t xml:space="preserve">CASS 6.2, CASS 7</t>
  </si>
  <si>
    <t xml:space="preserve">7</t>
  </si>
  <si>
    <t xml:space="preserve">NAV impact assessed and fund accounts updated</t>
  </si>
  <si>
    <t xml:space="preserve">Fund Accounting</t>
  </si>
  <si>
    <t xml:space="preserve">FUND 3.9</t>
  </si>
  <si>
    <t xml:space="preserve">8</t>
  </si>
  <si>
    <t xml:space="preserve">Breaks investigated and escalated if unresolved &gt;3 days</t>
  </si>
  <si>
    <t xml:space="preserve">Compliance</t>
  </si>
  <si>
    <t xml:space="preserve">Ongoing</t>
  </si>
  <si>
    <t xml:space="preserve">SYSC 9.1, COBS 2.1</t>
  </si>
  <si>
    <t xml:space="preserve">FCA REGULATORY FRAMEWORK — RECORD KEEPING FOR ASSET MANAGEMENT FIRMS</t>
  </si>
  <si>
    <t xml:space="preserve">Regulation / Rule</t>
  </si>
  <si>
    <t xml:space="preserve">Sourcebook</t>
  </si>
  <si>
    <t xml:space="preserve">Record Type</t>
  </si>
  <si>
    <t xml:space="preserve">Minimum Retention</t>
  </si>
  <si>
    <t xml:space="preserve">Relevance to Reconciliation</t>
  </si>
  <si>
    <t xml:space="preserve">SYSC 9.1.1R</t>
  </si>
  <si>
    <t xml:space="preserve">SYSC</t>
  </si>
  <si>
    <t xml:space="preserve">General business records, internal organisation,
all services &amp; transactions</t>
  </si>
  <si>
    <t xml:space="preserve">5 years (MiFID);
as long as relevant (non-MiFID)</t>
  </si>
  <si>
    <t xml:space="preserve">Foundation rule: all IBOR records,
trade blotters, position records</t>
  </si>
  <si>
    <t xml:space="preserve">SYSC 9.1.2R</t>
  </si>
  <si>
    <t xml:space="preserve">All records in relation to MiFID business</t>
  </si>
  <si>
    <t xml:space="preserve">At least 5 years</t>
  </si>
  <si>
    <t xml:space="preserve">Custodian recon records, order records,
transaction records</t>
  </si>
  <si>
    <t xml:space="preserve">SYSC 10A</t>
  </si>
  <si>
    <t xml:space="preserve">Telephone conversations and electronic
communications relating to transactions</t>
  </si>
  <si>
    <t xml:space="preserve">5 years (up to 7 on FCA request)</t>
  </si>
  <si>
    <t xml:space="preserve">Recorded trade instructions,
order confirmations, client calls</t>
  </si>
  <si>
    <t xml:space="preserve">COBS 9.5.2R</t>
  </si>
  <si>
    <t xml:space="preserve">COBS</t>
  </si>
  <si>
    <t xml:space="preserve">Suitability assessment records</t>
  </si>
  <si>
    <t xml:space="preserve">5 years (life/pension products);
Indefinite (pension transfers)</t>
  </si>
  <si>
    <t xml:space="preserve">Suitability of investment decisions
documented and retained</t>
  </si>
  <si>
    <t xml:space="preserve">COBS 10.7 / 10A.7</t>
  </si>
  <si>
    <t xml:space="preserve">Appropriateness assessment records</t>
  </si>
  <si>
    <t xml:space="preserve">Records of appropriateness checks
for execution-only services</t>
  </si>
  <si>
    <t xml:space="preserve">Client order handling — prompt and
accurate recording and allocation</t>
  </si>
  <si>
    <t xml:space="preserve">Duration of MiFID retention (5 yrs)</t>
  </si>
  <si>
    <t xml:space="preserve">Order allocation records,
sequential execution evidence</t>
  </si>
  <si>
    <t xml:space="preserve">Client orders and transactions —
detailed record immediately on receipt</t>
  </si>
  <si>
    <t xml:space="preserve">5 years</t>
  </si>
  <si>
    <t xml:space="preserve">Order details, trader ID, algorithm ID,
timestamps, decision to deal</t>
  </si>
  <si>
    <t xml:space="preserve">COBS 4.11</t>
  </si>
  <si>
    <t xml:space="preserve">Financial promotions and approvals</t>
  </si>
  <si>
    <t xml:space="preserve">Marketing material records
and approval evidence</t>
  </si>
  <si>
    <t xml:space="preserve">CASS 6.2</t>
  </si>
  <si>
    <t xml:space="preserve">CASS</t>
  </si>
  <si>
    <t xml:space="preserve">Client asset custody — organisational
arrangements, segregation records</t>
  </si>
  <si>
    <t xml:space="preserve">Duration of custody relationship</t>
  </si>
  <si>
    <t xml:space="preserve">Custodian reconciliation records,
asset segregation evidence</t>
  </si>
  <si>
    <t xml:space="preserve">Internal and external reconciliation
of custody assets</t>
  </si>
  <si>
    <t xml:space="preserve">Monthly (minimum); daily if CSD</t>
  </si>
  <si>
    <t xml:space="preserve">Core custodian vs IBOR reconciliation;
break logs and resolution</t>
  </si>
  <si>
    <t xml:space="preserve">CASS 7.15</t>
  </si>
  <si>
    <t xml:space="preserve">Client money reconciliation</t>
  </si>
  <si>
    <t xml:space="preserve">Daily internal reconciliation</t>
  </si>
  <si>
    <t xml:space="preserve">Cash balance reconciliation
between IBOR and custodian</t>
  </si>
  <si>
    <t xml:space="preserve">FUND</t>
  </si>
  <si>
    <t xml:space="preserve">Valuation — fair, accurate, independent
pricing of fund assets</t>
  </si>
  <si>
    <t xml:space="preserve">Duration of fund + 5 years</t>
  </si>
  <si>
    <t xml:space="preserve">Market data vendor reconciliation;
price challenge / override records</t>
  </si>
  <si>
    <t xml:space="preserve">DISP 1.9.1R</t>
  </si>
  <si>
    <t xml:space="preserve">DISP</t>
  </si>
  <si>
    <t xml:space="preserve">Complaints — record of complaint
and resolution measures</t>
  </si>
  <si>
    <t xml:space="preserve">3 years (5 for UCITS)</t>
  </si>
  <si>
    <t xml:space="preserve">Any client complaints about
record accuracy or valuations</t>
  </si>
  <si>
    <t xml:space="preserve">SUP 15A / 16</t>
  </si>
  <si>
    <t xml:space="preserve">SUP</t>
  </si>
  <si>
    <t xml:space="preserve">Transaction reporting records and
regulatory returns</t>
  </si>
  <si>
    <t xml:space="preserve">Transaction reports submitted
to FCA, reconciled to trades</t>
  </si>
  <si>
    <t xml:space="preserve">MLR 2017 Reg 40</t>
  </si>
  <si>
    <t xml:space="preserve">Legislation</t>
  </si>
  <si>
    <t xml:space="preserve">AML/KYC — customer due diligence
and transaction reconstruction</t>
  </si>
  <si>
    <t xml:space="preserve">5 years from end of
relationship / transaction</t>
  </si>
  <si>
    <t xml:space="preserve">Client identity records,
source of funds documentation</t>
  </si>
  <si>
    <t xml:space="preserve">PRIN 2A
(Consumer Duty)</t>
  </si>
  <si>
    <t xml:space="preserve">PRIN</t>
  </si>
  <si>
    <t xml:space="preserve">Evidence of good outcomes for
retail customers</t>
  </si>
  <si>
    <t xml:space="preserve">Duration of relevance
(no fixed period)</t>
  </si>
  <si>
    <t xml:space="preserve">Fair value assessments,
outcomes monitoring data</t>
  </si>
  <si>
    <t xml:space="preserve">SM&amp;CR
(SUP 10C.11)</t>
  </si>
  <si>
    <t xml:space="preserve">Statements of Responsibilities
for Senior Managers</t>
  </si>
  <si>
    <t xml:space="preserve">Duration of approval + 6 years</t>
  </si>
  <si>
    <t xml:space="preserve">Accountability for oversight
of reconciliation processes</t>
  </si>
  <si>
    <t xml:space="preserve">MAR (UK)</t>
  </si>
  <si>
    <t xml:space="preserve">Market Abuse Regulation —
suspicious transaction reports</t>
  </si>
  <si>
    <t xml:space="preserve">STORs and supporting trade
records for surveillance</t>
  </si>
  <si>
    <t xml:space="preserve">RECONCILIATION CONTROLS &amp; GOVERNANCE FRAMEWORK</t>
  </si>
  <si>
    <t xml:space="preserve">Control ID</t>
  </si>
  <si>
    <t xml:space="preserve">Control Description</t>
  </si>
  <si>
    <t xml:space="preserve">Frequency</t>
  </si>
  <si>
    <t xml:space="preserve">Owner</t>
  </si>
  <si>
    <t xml:space="preserve">Evidence Required</t>
  </si>
  <si>
    <t xml:space="preserve">RC-001</t>
  </si>
  <si>
    <t xml:space="preserve">Custodian holdings reconciliation
(positions vs IBOR)</t>
  </si>
  <si>
    <t xml:space="preserve">Daily (T+1)</t>
  </si>
  <si>
    <t xml:space="preserve">Operations
Manager</t>
  </si>
  <si>
    <t xml:space="preserve">CASS 6.6
SYSC 9.1</t>
  </si>
  <si>
    <t xml:space="preserve">Recon report with break log,
signed off by line manager</t>
  </si>
  <si>
    <t xml:space="preserve">RC-002</t>
  </si>
  <si>
    <t xml:space="preserve">Cash balance reconciliation
(custodian vs IBOR vs bank)</t>
  </si>
  <si>
    <t xml:space="preserve">Daily</t>
  </si>
  <si>
    <t xml:space="preserve">Treasury /
Operations</t>
  </si>
  <si>
    <t xml:space="preserve">CASS 7.15
SYSC 9.1</t>
  </si>
  <si>
    <t xml:space="preserve">Three-way cash recon report,
break investigation log</t>
  </si>
  <si>
    <t xml:space="preserve">RC-003</t>
  </si>
  <si>
    <t xml:space="preserve">Market data price verification
(primary vs secondary vendor)</t>
  </si>
  <si>
    <t xml:space="preserve">Daily (close)</t>
  </si>
  <si>
    <t xml:space="preserve">Middle
Office</t>
  </si>
  <si>
    <t xml:space="preserve">FUND 3.9
COBS 11.5A</t>
  </si>
  <si>
    <t xml:space="preserve">Price tolerance report,
override approvals log</t>
  </si>
  <si>
    <t xml:space="preserve">RC-004</t>
  </si>
  <si>
    <t xml:space="preserve">Stale / illiquid price review</t>
  </si>
  <si>
    <t xml:space="preserve">Pricing
Committee</t>
  </si>
  <si>
    <t xml:space="preserve">Stale price exception report,
valuation committee minutes</t>
  </si>
  <si>
    <t xml:space="preserve">RC-005</t>
  </si>
  <si>
    <t xml:space="preserve">Corporate action entitlement
reconciliation (IBOR vs custodian)</t>
  </si>
  <si>
    <t xml:space="preserve">Per event
(on pay date)</t>
  </si>
  <si>
    <t xml:space="preserve">CASS 6.6
COBS 11.3</t>
  </si>
  <si>
    <t xml:space="preserve">Entitlement calc sheet,
custodian confirmation match</t>
  </si>
  <si>
    <t xml:space="preserve">RC-006</t>
  </si>
  <si>
    <t xml:space="preserve">NAV calculation and verification</t>
  </si>
  <si>
    <t xml:space="preserve">Fund
Accounting</t>
  </si>
  <si>
    <t xml:space="preserve">FUND 3.9
COLL 6.3</t>
  </si>
  <si>
    <t xml:space="preserve">NAV pack with price sources,
shadow NAV comparison</t>
  </si>
  <si>
    <t xml:space="preserve">RC-007</t>
  </si>
  <si>
    <t xml:space="preserve">Trade reconciliation
(OMS vs execution venue vs custodian)</t>
  </si>
  <si>
    <t xml:space="preserve">COBS 11.5A
SYSC 9.1</t>
  </si>
  <si>
    <t xml:space="preserve">Trade matching report,
unmatched trade escalation log</t>
  </si>
  <si>
    <t xml:space="preserve">RC-008</t>
  </si>
  <si>
    <t xml:space="preserve">Income reconciliation
(expected vs received dividends/coupons)</t>
  </si>
  <si>
    <t xml:space="preserve">Per event +
monthly review</t>
  </si>
  <si>
    <t xml:space="preserve">CASS 6.6
CASS 7</t>
  </si>
  <si>
    <t xml:space="preserve">Income accrual vs receipt report,
withholding tax reconciliation</t>
  </si>
  <si>
    <t xml:space="preserve">RC-009</t>
  </si>
  <si>
    <t xml:space="preserve">FX rate source verification</t>
  </si>
  <si>
    <t xml:space="preserve">FX source log, multi-vendor
comparison for material exposures</t>
  </si>
  <si>
    <t xml:space="preserve">RC-010</t>
  </si>
  <si>
    <t xml:space="preserve">Regulatory transaction reporting
reconciliation (vs SUP 15A)</t>
  </si>
  <si>
    <t xml:space="preserve">SUP 15A
MAR (UK)</t>
  </si>
  <si>
    <t xml:space="preserve">EMIR / MiFIR reporting recon,
rejection and resubmission log</t>
  </si>
  <si>
    <t xml:space="preserve">RC-011</t>
  </si>
  <si>
    <t xml:space="preserve">Break ageing and escalation review</t>
  </si>
  <si>
    <t xml:space="preserve">Weekly</t>
  </si>
  <si>
    <t xml:space="preserve">Head of
Operations</t>
  </si>
  <si>
    <t xml:space="preserve">SYSC 9.1
PRIN 2A</t>
  </si>
  <si>
    <t xml:space="preserve">Aged breaks report, escalation
evidence, resolution timelines</t>
  </si>
  <si>
    <t xml:space="preserve">RC-012</t>
  </si>
  <si>
    <t xml:space="preserve">Quarterly CASS compliance
assurance review</t>
  </si>
  <si>
    <t xml:space="preserve">Quarterly</t>
  </si>
  <si>
    <t xml:space="preserve">CASS
Oversight Fn</t>
  </si>
  <si>
    <t xml:space="preserve">CASS 6
CASS 7
SUP 3.10</t>
  </si>
  <si>
    <t xml:space="preserve">CASS resolution pack,
external auditor CASS report</t>
  </si>
  <si>
    <t xml:space="preserve">WORKBOOK GUIDE</t>
  </si>
  <si>
    <t xml:space="preserve">Sheet</t>
  </si>
  <si>
    <t xml:space="preserve">Purpose</t>
  </si>
  <si>
    <t xml:space="preserve">IBOR - Book of Records</t>
  </si>
  <si>
    <t xml:space="preserve">Master investment book of records showing all positions, valuations,
and high-level custodian comparison. This is the 'golden source'.</t>
  </si>
  <si>
    <t xml:space="preserve">Custodian Reconciliation</t>
  </si>
  <si>
    <t xml:space="preserve">Detailed position-by-position reconciliation of IBOR quantities and
values against the custodian statement (BNY Mellon). Breaks flagged.</t>
  </si>
  <si>
    <t xml:space="preserve">Market Data Reconciliation</t>
  </si>
  <si>
    <t xml:space="preserve">Cross-check of closing prices from primary vendor (Bloomberg) against
secondary vendor (Refinitiv) and custodian-supplied prices. Includes stale price check.</t>
  </si>
  <si>
    <t xml:space="preserve">Corporate Actions</t>
  </si>
  <si>
    <t xml:space="preserve">Log of all corporate action events, entitlement calculations, and
reconciliation of IBOR-calculated entitlements vs custodian-credited amounts.</t>
  </si>
  <si>
    <t xml:space="preserve">Regulatory Reference</t>
  </si>
  <si>
    <t xml:space="preserve">Complete list of FCA regulations, retention periods, and their
relevance to the reconciliation and record-keeping process.</t>
  </si>
  <si>
    <t xml:space="preserve">Recon Controls Framework</t>
  </si>
  <si>
    <t xml:space="preserve">Governance controls showing what reconciliation is done, how often,
who owns it, and what evidence must be retained for FCA review.</t>
  </si>
  <si>
    <t xml:space="preserve">COLOUR KEY</t>
  </si>
  <si>
    <t xml:space="preserve">Green highlight</t>
  </si>
  <si>
    <t xml:space="preserve">Matched — within tolerance</t>
  </si>
  <si>
    <t xml:space="preserve">Red highlight</t>
  </si>
  <si>
    <t xml:space="preserve">Break — outside tolerance, investigation required</t>
  </si>
  <si>
    <t xml:space="preserve">Yellow highlight</t>
  </si>
  <si>
    <t xml:space="preserve">Input cell — user should populate</t>
  </si>
  <si>
    <t xml:space="preserve">Amber highlight</t>
  </si>
  <si>
    <t xml:space="preserve">Warning — review required</t>
  </si>
  <si>
    <t xml:space="preserve">FONT COLOUR KEY</t>
  </si>
  <si>
    <t xml:space="preserve">Blue text</t>
  </si>
  <si>
    <t xml:space="preserve">Hardcoded input value</t>
  </si>
  <si>
    <t xml:space="preserve">Green text</t>
  </si>
  <si>
    <t xml:space="preserve">Cross-sheet reference (link to another tab)</t>
  </si>
  <si>
    <t xml:space="preserve">Red text</t>
  </si>
  <si>
    <t xml:space="preserve">Error or critical break requiring action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</si>
</sst>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"/>
    <numFmt numFmtId="167" formatCode="#,##0;\(#,##0\);\-"/>
    <numFmt numFmtId="168" formatCode="0.0%"/>
    <numFmt numFmtId="169" formatCode="General"/>
    <numFmt numFmtId="170" formatCode="#,##0.00;\(#,##0.00\);\-"/>
    <numFmt numFmtId="171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4F6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F4F6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F4F6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4F6F"/>
        <bgColor rgb="FF555555"/>
      </patternFill>
    </fill>
    <fill>
      <patternFill patternType="solid">
        <fgColor rgb="FF4A7A9B"/>
        <bgColor rgb="FF808080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FF00"/>
        <bgColor rgb="FFFFFF00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A7A9B"/>
      <rgbColor rgb="FF969696"/>
      <rgbColor rgb="FF003366"/>
      <rgbColor rgb="FF339966"/>
      <rgbColor rgb="FF003300"/>
      <rgbColor rgb="FF333300"/>
      <rgbColor rgb="FF993300"/>
      <rgbColor rgb="FF993366"/>
      <rgbColor rgb="FF2F4F6F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9" min="8" style="0" width="11"/>
    <col collapsed="false" customWidth="true" hidden="false" outlineLevel="0" max="11" min="10" style="0" width="14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s">
        <v>18</v>
      </c>
      <c r="B5" s="4" t="s">
        <v>19</v>
      </c>
      <c r="C5" s="4" t="s">
        <v>20</v>
      </c>
      <c r="D5" s="4" t="s">
        <v>21</v>
      </c>
      <c r="E5" s="5" t="n">
        <v>150000</v>
      </c>
      <c r="F5" s="6" t="n">
        <v>24.35</v>
      </c>
      <c r="G5" s="5" t="n">
        <f aca="false">E5*F5</f>
        <v>3652500</v>
      </c>
      <c r="H5" s="6" t="n">
        <v>26.82</v>
      </c>
      <c r="I5" s="4" t="s">
        <v>22</v>
      </c>
      <c r="J5" s="5" t="n">
        <f aca="false">E5*H5</f>
        <v>4023000</v>
      </c>
      <c r="K5" s="7" t="n">
        <f aca="false">J5-G5</f>
        <v>370500</v>
      </c>
      <c r="L5" s="8" t="n">
        <f aca="false">J5/J$13</f>
        <v>0.00766898137226728</v>
      </c>
      <c r="M5" s="5" t="n">
        <v>150000</v>
      </c>
      <c r="N5" s="7" t="n">
        <f aca="false">E5-M5</f>
        <v>0</v>
      </c>
      <c r="O5" s="5" t="n">
        <f aca="false">M5*H5</f>
        <v>4023000</v>
      </c>
      <c r="P5" s="7" t="n">
        <f aca="false">J5-O5</f>
        <v>0</v>
      </c>
    </row>
    <row r="6" customFormat="false" ht="15" hidden="false" customHeight="false" outlineLevel="0" collapsed="false">
      <c r="A6" s="4" t="s">
        <v>23</v>
      </c>
      <c r="B6" s="4" t="s">
        <v>24</v>
      </c>
      <c r="C6" s="4" t="s">
        <v>20</v>
      </c>
      <c r="D6" s="4" t="s">
        <v>21</v>
      </c>
      <c r="E6" s="5" t="n">
        <v>85000</v>
      </c>
      <c r="F6" s="6" t="n">
        <v>52.1</v>
      </c>
      <c r="G6" s="5" t="n">
        <f aca="false">E6*F6</f>
        <v>4428500</v>
      </c>
      <c r="H6" s="6" t="n">
        <v>54.75</v>
      </c>
      <c r="I6" s="4" t="s">
        <v>22</v>
      </c>
      <c r="J6" s="5" t="n">
        <f aca="false">E6*H6</f>
        <v>4653750</v>
      </c>
      <c r="K6" s="7" t="n">
        <f aca="false">J6-G6</f>
        <v>225250</v>
      </c>
      <c r="L6" s="8" t="n">
        <f aca="false">J6/J$13</f>
        <v>0.00887137013700941</v>
      </c>
      <c r="M6" s="5" t="n">
        <v>85000</v>
      </c>
      <c r="N6" s="7" t="n">
        <f aca="false">E6-M6</f>
        <v>0</v>
      </c>
      <c r="O6" s="5" t="n">
        <f aca="false">M6*H6</f>
        <v>4653750</v>
      </c>
      <c r="P6" s="7" t="n">
        <f aca="false">J6-O6</f>
        <v>0</v>
      </c>
    </row>
    <row r="7" customFormat="false" ht="15" hidden="false" customHeight="false" outlineLevel="0" collapsed="false">
      <c r="A7" s="4" t="s">
        <v>25</v>
      </c>
      <c r="B7" s="4" t="s">
        <v>26</v>
      </c>
      <c r="C7" s="4" t="s">
        <v>27</v>
      </c>
      <c r="D7" s="4" t="s">
        <v>28</v>
      </c>
      <c r="E7" s="5" t="n">
        <v>40000</v>
      </c>
      <c r="F7" s="6" t="n">
        <v>178.5</v>
      </c>
      <c r="G7" s="5" t="n">
        <f aca="false">E7*F7</f>
        <v>7140000</v>
      </c>
      <c r="H7" s="6" t="n">
        <v>195.2</v>
      </c>
      <c r="I7" s="4" t="s">
        <v>22</v>
      </c>
      <c r="J7" s="5" t="n">
        <f aca="false">E7*H7</f>
        <v>7808000</v>
      </c>
      <c r="K7" s="7" t="n">
        <f aca="false">J7-G7</f>
        <v>668000</v>
      </c>
      <c r="L7" s="8" t="n">
        <f aca="false">J7/J$13</f>
        <v>0.0148842671028245</v>
      </c>
      <c r="M7" s="5" t="n">
        <v>40000</v>
      </c>
      <c r="N7" s="7" t="n">
        <f aca="false">E7-M7</f>
        <v>0</v>
      </c>
      <c r="O7" s="5" t="n">
        <f aca="false">M7*H7</f>
        <v>7808000</v>
      </c>
      <c r="P7" s="7" t="n">
        <f aca="false">J7-O7</f>
        <v>0</v>
      </c>
    </row>
    <row r="8" customFormat="false" ht="15" hidden="false" customHeight="false" outlineLevel="0" collapsed="false">
      <c r="A8" s="4" t="s">
        <v>29</v>
      </c>
      <c r="B8" s="4" t="s">
        <v>30</v>
      </c>
      <c r="C8" s="4" t="s">
        <v>31</v>
      </c>
      <c r="D8" s="4" t="s">
        <v>32</v>
      </c>
      <c r="E8" s="5" t="n">
        <v>25000</v>
      </c>
      <c r="F8" s="6" t="n">
        <v>165</v>
      </c>
      <c r="G8" s="5" t="n">
        <f aca="false">E8*F8</f>
        <v>4125000</v>
      </c>
      <c r="H8" s="6" t="n">
        <v>182.4</v>
      </c>
      <c r="I8" s="4" t="s">
        <v>22</v>
      </c>
      <c r="J8" s="5" t="n">
        <f aca="false">E8*H8</f>
        <v>4560000</v>
      </c>
      <c r="K8" s="7" t="n">
        <f aca="false">J8-G8</f>
        <v>435000</v>
      </c>
      <c r="L8" s="8" t="n">
        <f aca="false">J8/J$13</f>
        <v>0.00869265599242824</v>
      </c>
      <c r="M8" s="5" t="n">
        <v>25000</v>
      </c>
      <c r="N8" s="7" t="n">
        <f aca="false">E8-M8</f>
        <v>0</v>
      </c>
      <c r="O8" s="5" t="n">
        <f aca="false">M8*H8</f>
        <v>4560000</v>
      </c>
      <c r="P8" s="7" t="n">
        <f aca="false">J8-O8</f>
        <v>0</v>
      </c>
    </row>
    <row r="9" customFormat="false" ht="15" hidden="false" customHeight="false" outlineLevel="0" collapsed="false">
      <c r="A9" s="4" t="s">
        <v>33</v>
      </c>
      <c r="B9" s="4" t="s">
        <v>34</v>
      </c>
      <c r="C9" s="4" t="s">
        <v>20</v>
      </c>
      <c r="D9" s="4" t="s">
        <v>21</v>
      </c>
      <c r="E9" s="5" t="n">
        <v>60000</v>
      </c>
      <c r="F9" s="6" t="n">
        <v>58.9</v>
      </c>
      <c r="G9" s="5" t="n">
        <f aca="false">E9*F9</f>
        <v>3534000</v>
      </c>
      <c r="H9" s="6" t="n">
        <v>55.2</v>
      </c>
      <c r="I9" s="4" t="s">
        <v>22</v>
      </c>
      <c r="J9" s="5" t="n">
        <f aca="false">E9*H9</f>
        <v>3312000</v>
      </c>
      <c r="K9" s="7" t="n">
        <f aca="false">J9-G9</f>
        <v>-222000</v>
      </c>
      <c r="L9" s="8" t="n">
        <f aca="false">J9/J$13</f>
        <v>0.00631361329976367</v>
      </c>
      <c r="M9" s="5" t="n">
        <v>60000</v>
      </c>
      <c r="N9" s="7" t="n">
        <f aca="false">E9-M9</f>
        <v>0</v>
      </c>
      <c r="O9" s="5" t="n">
        <f aca="false">M9*H9</f>
        <v>3312000</v>
      </c>
      <c r="P9" s="7" t="n">
        <f aca="false">J9-O9</f>
        <v>0</v>
      </c>
    </row>
    <row r="10" customFormat="false" ht="15" hidden="false" customHeight="false" outlineLevel="0" collapsed="false">
      <c r="A10" s="4" t="s">
        <v>35</v>
      </c>
      <c r="B10" s="4" t="s">
        <v>36</v>
      </c>
      <c r="C10" s="4" t="s">
        <v>37</v>
      </c>
      <c r="D10" s="4" t="s">
        <v>21</v>
      </c>
      <c r="E10" s="5" t="n">
        <v>5000000</v>
      </c>
      <c r="F10" s="6" t="n">
        <v>98.5</v>
      </c>
      <c r="G10" s="5" t="n">
        <f aca="false">E10*F10</f>
        <v>492500000</v>
      </c>
      <c r="H10" s="6" t="n">
        <v>99.15</v>
      </c>
      <c r="I10" s="4" t="s">
        <v>22</v>
      </c>
      <c r="J10" s="5" t="n">
        <f aca="false">E10*H10</f>
        <v>495750000</v>
      </c>
      <c r="K10" s="7" t="n">
        <f aca="false">J10-G10</f>
        <v>3250000</v>
      </c>
      <c r="L10" s="8" t="n">
        <f aca="false">J10/J$13</f>
        <v>0.945040396545241</v>
      </c>
      <c r="M10" s="5" t="n">
        <v>5000000</v>
      </c>
      <c r="N10" s="7" t="n">
        <f aca="false">E10-M10</f>
        <v>0</v>
      </c>
      <c r="O10" s="5" t="n">
        <f aca="false">M10*H10</f>
        <v>495750000</v>
      </c>
      <c r="P10" s="7" t="n">
        <f aca="false">J10-O10</f>
        <v>0</v>
      </c>
    </row>
    <row r="11" customFormat="false" ht="15" hidden="false" customHeight="false" outlineLevel="0" collapsed="false">
      <c r="A11" s="4" t="s">
        <v>38</v>
      </c>
      <c r="B11" s="4" t="s">
        <v>39</v>
      </c>
      <c r="C11" s="4" t="s">
        <v>40</v>
      </c>
      <c r="D11" s="4" t="s">
        <v>21</v>
      </c>
      <c r="E11" s="5" t="n">
        <v>200000</v>
      </c>
      <c r="F11" s="6" t="n">
        <v>7.85</v>
      </c>
      <c r="G11" s="5" t="n">
        <f aca="false">E11*F11</f>
        <v>1570000</v>
      </c>
      <c r="H11" s="6" t="n">
        <v>8.12</v>
      </c>
      <c r="I11" s="4" t="s">
        <v>22</v>
      </c>
      <c r="J11" s="5" t="n">
        <f aca="false">E11*H11</f>
        <v>1624000</v>
      </c>
      <c r="K11" s="7" t="n">
        <f aca="false">J11-G11</f>
        <v>53999.9999999998</v>
      </c>
      <c r="L11" s="8" t="n">
        <f aca="false">J11/J$13</f>
        <v>0.00309580555519813</v>
      </c>
      <c r="M11" s="5" t="n">
        <v>200000</v>
      </c>
      <c r="N11" s="7" t="n">
        <f aca="false">E11-M11</f>
        <v>0</v>
      </c>
      <c r="O11" s="5" t="n">
        <f aca="false">M11*H11</f>
        <v>1624000</v>
      </c>
      <c r="P11" s="7" t="n">
        <f aca="false">J11-O11</f>
        <v>0</v>
      </c>
    </row>
    <row r="12" customFormat="false" ht="15" hidden="false" customHeight="false" outlineLevel="0" collapsed="false">
      <c r="A12" s="4" t="s">
        <v>41</v>
      </c>
      <c r="B12" s="4" t="s">
        <v>42</v>
      </c>
      <c r="C12" s="4" t="s">
        <v>43</v>
      </c>
      <c r="D12" s="4" t="s">
        <v>21</v>
      </c>
      <c r="E12" s="5" t="n">
        <v>2850000</v>
      </c>
      <c r="F12" s="6" t="n">
        <v>1</v>
      </c>
      <c r="G12" s="5" t="n">
        <f aca="false">E12*F12</f>
        <v>2850000</v>
      </c>
      <c r="H12" s="6" t="n">
        <v>1</v>
      </c>
      <c r="I12" s="4" t="s">
        <v>44</v>
      </c>
      <c r="J12" s="5" t="n">
        <f aca="false">E12*H12</f>
        <v>2850000</v>
      </c>
      <c r="K12" s="7" t="n">
        <f aca="false">J12-G12</f>
        <v>0</v>
      </c>
      <c r="L12" s="8" t="n">
        <f aca="false">J12/J$13</f>
        <v>0.00543290999526765</v>
      </c>
      <c r="M12" s="5" t="n">
        <v>2850000</v>
      </c>
      <c r="N12" s="7" t="n">
        <f aca="false">E12-M12</f>
        <v>0</v>
      </c>
      <c r="O12" s="5" t="n">
        <f aca="false">M12*H12</f>
        <v>2850000</v>
      </c>
      <c r="P12" s="7" t="n">
        <f aca="false">J12-O12</f>
        <v>0</v>
      </c>
    </row>
    <row r="13" customFormat="false" ht="15" hidden="false" customHeight="false" outlineLevel="0" collapsed="false">
      <c r="A13" s="4" t="s">
        <v>45</v>
      </c>
      <c r="B13" s="4"/>
      <c r="C13" s="4"/>
      <c r="D13" s="4"/>
      <c r="E13" s="4"/>
      <c r="F13" s="4"/>
      <c r="G13" s="5" t="n">
        <f aca="false">SUM(G5:G12)</f>
        <v>519800000</v>
      </c>
      <c r="H13" s="4"/>
      <c r="I13" s="4"/>
      <c r="J13" s="5" t="n">
        <f aca="false">SUM(J5:J12)</f>
        <v>524580750</v>
      </c>
      <c r="K13" s="5" t="n">
        <f aca="false">SUM(K5:K12)</f>
        <v>4780750</v>
      </c>
      <c r="L13" s="8" t="n">
        <f aca="false">SUM(L5:L12)</f>
        <v>1</v>
      </c>
      <c r="M13" s="4"/>
      <c r="N13" s="4"/>
      <c r="O13" s="5" t="n">
        <f aca="false">SUM(O5:O12)</f>
        <v>524580750</v>
      </c>
      <c r="P13" s="5" t="n">
        <f aca="false">SUM(P5:P12)</f>
        <v>0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8" min="6" style="0" width="15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9" t="s">
        <v>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15" hidden="false" customHeight="false" outlineLevel="0" collapsed="false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9.55" hidden="false" customHeight="false" outlineLevel="0" collapsed="false">
      <c r="A4" s="3" t="s">
        <v>48</v>
      </c>
      <c r="B4" s="3" t="s">
        <v>3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3" t="s">
        <v>56</v>
      </c>
      <c r="K4" s="3" t="s">
        <v>57</v>
      </c>
      <c r="L4" s="3" t="s">
        <v>58</v>
      </c>
    </row>
    <row r="5" customFormat="false" ht="15" hidden="false" customHeight="false" outlineLevel="0" collapsed="false">
      <c r="A5" s="4" t="s">
        <v>18</v>
      </c>
      <c r="B5" s="4" t="s">
        <v>19</v>
      </c>
      <c r="C5" s="5" t="n">
        <v>150000</v>
      </c>
      <c r="D5" s="5" t="n">
        <v>150000</v>
      </c>
      <c r="E5" s="7" t="n">
        <f aca="false">C5-D5</f>
        <v>0</v>
      </c>
      <c r="F5" s="5" t="n">
        <f aca="false">'IBOR - Book of Records'!J5</f>
        <v>4023000</v>
      </c>
      <c r="G5" s="5" t="n">
        <f aca="false">D5*'IBOR - Book of Records'!H5</f>
        <v>4023000</v>
      </c>
      <c r="H5" s="7" t="n">
        <f aca="false">F5-G5</f>
        <v>0</v>
      </c>
      <c r="I5" s="4" t="str">
        <f aca="false">IF(AND(E5=0,ABS(H5)&lt;=500),"MATCHED","BREAK")</f>
        <v>MATCHED</v>
      </c>
      <c r="J5" s="4"/>
      <c r="K5" s="4"/>
      <c r="L5" s="4"/>
    </row>
    <row r="6" customFormat="false" ht="15" hidden="false" customHeight="false" outlineLevel="0" collapsed="false">
      <c r="A6" s="4" t="s">
        <v>23</v>
      </c>
      <c r="B6" s="4" t="s">
        <v>24</v>
      </c>
      <c r="C6" s="5" t="n">
        <v>85000</v>
      </c>
      <c r="D6" s="5" t="n">
        <v>85000</v>
      </c>
      <c r="E6" s="7" t="n">
        <f aca="false">C6-D6</f>
        <v>0</v>
      </c>
      <c r="F6" s="5" t="n">
        <f aca="false">'IBOR - Book of Records'!J6</f>
        <v>4653750</v>
      </c>
      <c r="G6" s="5" t="n">
        <f aca="false">D6*'IBOR - Book of Records'!H6</f>
        <v>4653750</v>
      </c>
      <c r="H6" s="7" t="n">
        <f aca="false">F6-G6</f>
        <v>0</v>
      </c>
      <c r="I6" s="4" t="str">
        <f aca="false">IF(AND(E6=0,ABS(H6)&lt;=500),"MATCHED","BREAK")</f>
        <v>MATCHED</v>
      </c>
      <c r="J6" s="4"/>
      <c r="K6" s="4"/>
      <c r="L6" s="4"/>
    </row>
    <row r="7" customFormat="false" ht="15" hidden="false" customHeight="false" outlineLevel="0" collapsed="false">
      <c r="A7" s="4" t="s">
        <v>25</v>
      </c>
      <c r="B7" s="4" t="s">
        <v>26</v>
      </c>
      <c r="C7" s="5" t="n">
        <v>40000</v>
      </c>
      <c r="D7" s="5" t="n">
        <v>40000</v>
      </c>
      <c r="E7" s="7" t="n">
        <f aca="false">C7-D7</f>
        <v>0</v>
      </c>
      <c r="F7" s="5" t="n">
        <f aca="false">'IBOR - Book of Records'!J7</f>
        <v>7808000</v>
      </c>
      <c r="G7" s="5" t="n">
        <f aca="false">D7*'IBOR - Book of Records'!H7</f>
        <v>7808000</v>
      </c>
      <c r="H7" s="7" t="n">
        <f aca="false">F7-G7</f>
        <v>0</v>
      </c>
      <c r="I7" s="4" t="str">
        <f aca="false">IF(AND(E7=0,ABS(H7)&lt;=500),"MATCHED","BREAK")</f>
        <v>MATCHED</v>
      </c>
      <c r="J7" s="4"/>
      <c r="K7" s="4"/>
      <c r="L7" s="4"/>
    </row>
    <row r="8" customFormat="false" ht="15" hidden="false" customHeight="false" outlineLevel="0" collapsed="false">
      <c r="A8" s="4" t="s">
        <v>29</v>
      </c>
      <c r="B8" s="4" t="s">
        <v>30</v>
      </c>
      <c r="C8" s="5" t="n">
        <v>25000</v>
      </c>
      <c r="D8" s="5" t="n">
        <v>25000</v>
      </c>
      <c r="E8" s="7" t="n">
        <f aca="false">C8-D8</f>
        <v>0</v>
      </c>
      <c r="F8" s="5" t="n">
        <f aca="false">'IBOR - Book of Records'!J8</f>
        <v>4560000</v>
      </c>
      <c r="G8" s="5" t="n">
        <f aca="false">D8*'IBOR - Book of Records'!H8</f>
        <v>4560000</v>
      </c>
      <c r="H8" s="7" t="n">
        <f aca="false">F8-G8</f>
        <v>0</v>
      </c>
      <c r="I8" s="4" t="str">
        <f aca="false">IF(AND(E8=0,ABS(H8)&lt;=500),"MATCHED","BREAK")</f>
        <v>MATCHED</v>
      </c>
      <c r="J8" s="4"/>
      <c r="K8" s="4"/>
      <c r="L8" s="4"/>
    </row>
    <row r="9" customFormat="false" ht="23.85" hidden="false" customHeight="false" outlineLevel="0" collapsed="false">
      <c r="A9" s="4" t="s">
        <v>33</v>
      </c>
      <c r="B9" s="4" t="s">
        <v>34</v>
      </c>
      <c r="C9" s="5" t="n">
        <v>60000</v>
      </c>
      <c r="D9" s="5" t="n">
        <v>59500</v>
      </c>
      <c r="E9" s="7" t="n">
        <f aca="false">C9-D9</f>
        <v>500</v>
      </c>
      <c r="F9" s="5" t="n">
        <f aca="false">'IBOR - Book of Records'!J9</f>
        <v>3312000</v>
      </c>
      <c r="G9" s="5" t="n">
        <f aca="false">D9*'IBOR - Book of Records'!H9</f>
        <v>3284400</v>
      </c>
      <c r="H9" s="7" t="n">
        <f aca="false">F9-G9</f>
        <v>27600</v>
      </c>
      <c r="I9" s="4" t="str">
        <f aca="false">IF(AND(E9=0,ABS(H9)&lt;=500),"MATCHED","BREAK")</f>
        <v>BREAK</v>
      </c>
      <c r="J9" s="4" t="s">
        <v>59</v>
      </c>
      <c r="K9" s="4" t="s">
        <v>60</v>
      </c>
      <c r="L9" s="4"/>
    </row>
    <row r="10" customFormat="false" ht="15" hidden="false" customHeight="false" outlineLevel="0" collapsed="false">
      <c r="A10" s="4" t="s">
        <v>35</v>
      </c>
      <c r="B10" s="4" t="s">
        <v>36</v>
      </c>
      <c r="C10" s="5" t="n">
        <v>5000000</v>
      </c>
      <c r="D10" s="5" t="n">
        <v>5000000</v>
      </c>
      <c r="E10" s="7" t="n">
        <f aca="false">C10-D10</f>
        <v>0</v>
      </c>
      <c r="F10" s="5" t="n">
        <f aca="false">'IBOR - Book of Records'!J10</f>
        <v>495750000</v>
      </c>
      <c r="G10" s="5" t="n">
        <f aca="false">D10*'IBOR - Book of Records'!H10</f>
        <v>495750000</v>
      </c>
      <c r="H10" s="7" t="n">
        <f aca="false">F10-G10</f>
        <v>0</v>
      </c>
      <c r="I10" s="4" t="str">
        <f aca="false">IF(AND(E10=0,ABS(H10)&lt;=500),"MATCHED","BREAK")</f>
        <v>MATCHED</v>
      </c>
      <c r="J10" s="4"/>
      <c r="K10" s="4"/>
      <c r="L10" s="4"/>
    </row>
    <row r="11" customFormat="false" ht="15" hidden="false" customHeight="false" outlineLevel="0" collapsed="false">
      <c r="A11" s="4" t="s">
        <v>38</v>
      </c>
      <c r="B11" s="4" t="s">
        <v>39</v>
      </c>
      <c r="C11" s="5" t="n">
        <v>200000</v>
      </c>
      <c r="D11" s="5" t="n">
        <v>200000</v>
      </c>
      <c r="E11" s="7" t="n">
        <f aca="false">C11-D11</f>
        <v>0</v>
      </c>
      <c r="F11" s="5" t="n">
        <f aca="false">'IBOR - Book of Records'!J11</f>
        <v>1624000</v>
      </c>
      <c r="G11" s="5" t="n">
        <f aca="false">D11*'IBOR - Book of Records'!H11</f>
        <v>1624000</v>
      </c>
      <c r="H11" s="7" t="n">
        <f aca="false">F11-G11</f>
        <v>0</v>
      </c>
      <c r="I11" s="4" t="str">
        <f aca="false">IF(AND(E11=0,ABS(H11)&lt;=500),"MATCHED","BREAK")</f>
        <v>MATCHED</v>
      </c>
      <c r="J11" s="4"/>
      <c r="K11" s="4"/>
      <c r="L11" s="4"/>
    </row>
    <row r="12" customFormat="false" ht="23.85" hidden="false" customHeight="false" outlineLevel="0" collapsed="false">
      <c r="A12" s="4" t="s">
        <v>41</v>
      </c>
      <c r="B12" s="4" t="s">
        <v>42</v>
      </c>
      <c r="C12" s="5" t="n">
        <v>2850000</v>
      </c>
      <c r="D12" s="5" t="n">
        <v>2847500</v>
      </c>
      <c r="E12" s="7" t="n">
        <f aca="false">C12-D12</f>
        <v>2500</v>
      </c>
      <c r="F12" s="5" t="n">
        <f aca="false">'IBOR - Book of Records'!J12</f>
        <v>2850000</v>
      </c>
      <c r="G12" s="5" t="n">
        <f aca="false">D12*'IBOR - Book of Records'!H12</f>
        <v>2847500</v>
      </c>
      <c r="H12" s="7" t="n">
        <f aca="false">F12-G12</f>
        <v>2500</v>
      </c>
      <c r="I12" s="4" t="str">
        <f aca="false">IF(AND(E12=0,ABS(H12)&lt;=500),"MATCHED","BREAK")</f>
        <v>BREAK</v>
      </c>
      <c r="J12" s="4" t="s">
        <v>61</v>
      </c>
      <c r="K12" s="4" t="s">
        <v>62</v>
      </c>
      <c r="L12" s="4"/>
    </row>
    <row r="14" customFormat="false" ht="15" hidden="false" customHeight="false" outlineLevel="0" collapsed="false">
      <c r="A14" s="10" t="s">
        <v>63</v>
      </c>
    </row>
    <row r="15" customFormat="false" ht="15" hidden="false" customHeight="false" outlineLevel="0" collapsed="false">
      <c r="A15" s="11" t="s">
        <v>64</v>
      </c>
      <c r="B15" s="12" t="n">
        <f aca="false">COUNTA(A5:A12)</f>
        <v>8</v>
      </c>
    </row>
    <row r="16" customFormat="false" ht="15" hidden="false" customHeight="false" outlineLevel="0" collapsed="false">
      <c r="A16" s="11" t="s">
        <v>65</v>
      </c>
      <c r="B16" s="12" t="n">
        <f aca="false">COUNTIF(I5:I12,"MATCHED")</f>
        <v>6</v>
      </c>
    </row>
    <row r="17" customFormat="false" ht="15" hidden="false" customHeight="false" outlineLevel="0" collapsed="false">
      <c r="A17" s="11" t="s">
        <v>66</v>
      </c>
      <c r="B17" s="12" t="n">
        <f aca="false">COUNTIF(I5:I12,"BREAK")</f>
        <v>2</v>
      </c>
    </row>
    <row r="18" customFormat="false" ht="15" hidden="false" customHeight="false" outlineLevel="0" collapsed="false">
      <c r="A18" s="11" t="s">
        <v>67</v>
      </c>
      <c r="B18" s="13" t="n">
        <f aca="false">B16/B15</f>
        <v>0.75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10" min="4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9" t="s">
        <v>68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9.55" hidden="false" customHeight="false" outlineLevel="0" collapsed="false">
      <c r="A4" s="3" t="s">
        <v>48</v>
      </c>
      <c r="B4" s="3" t="s">
        <v>3</v>
      </c>
      <c r="C4" s="3" t="s">
        <v>5</v>
      </c>
      <c r="D4" s="3" t="s">
        <v>70</v>
      </c>
      <c r="E4" s="3" t="s">
        <v>71</v>
      </c>
      <c r="F4" s="3" t="s">
        <v>72</v>
      </c>
      <c r="G4" s="3" t="s">
        <v>73</v>
      </c>
      <c r="H4" s="3" t="s">
        <v>74</v>
      </c>
      <c r="I4" s="3" t="s">
        <v>75</v>
      </c>
      <c r="J4" s="3" t="s">
        <v>76</v>
      </c>
      <c r="K4" s="3" t="s">
        <v>55</v>
      </c>
      <c r="L4" s="3" t="s">
        <v>77</v>
      </c>
      <c r="M4" s="3" t="s">
        <v>78</v>
      </c>
      <c r="N4" s="3" t="s">
        <v>79</v>
      </c>
    </row>
    <row r="5" customFormat="false" ht="15" hidden="false" customHeight="false" outlineLevel="0" collapsed="false">
      <c r="A5" s="4" t="s">
        <v>18</v>
      </c>
      <c r="B5" s="4" t="s">
        <v>19</v>
      </c>
      <c r="C5" s="4" t="s">
        <v>21</v>
      </c>
      <c r="D5" s="6" t="n">
        <v>26.82</v>
      </c>
      <c r="E5" s="6" t="n">
        <v>26.8</v>
      </c>
      <c r="F5" s="6" t="n">
        <v>26.82</v>
      </c>
      <c r="G5" s="14" t="n">
        <f aca="false">D5-E5</f>
        <v>0.0199999999999996</v>
      </c>
      <c r="H5" s="15" t="n">
        <f aca="false">IF(E5=0,0,ABS(G5/E5))</f>
        <v>0.000746268656716402</v>
      </c>
      <c r="I5" s="14" t="n">
        <f aca="false">D5-F5</f>
        <v>0</v>
      </c>
      <c r="J5" s="15" t="n">
        <f aca="false">IF(F5=0,0,ABS(I5/F5))</f>
        <v>0</v>
      </c>
      <c r="K5" s="4" t="str">
        <f aca="false">IF(AND(H5&lt;=0.005,J5&lt;=0.005),"MATCHED","REVIEW")</f>
        <v>MATCHED</v>
      </c>
      <c r="L5" s="6" t="n">
        <f aca="false">D5</f>
        <v>26.82</v>
      </c>
      <c r="M5" s="4"/>
      <c r="N5" s="4"/>
    </row>
    <row r="6" customFormat="false" ht="15" hidden="false" customHeight="false" outlineLevel="0" collapsed="false">
      <c r="A6" s="4" t="s">
        <v>23</v>
      </c>
      <c r="B6" s="4" t="s">
        <v>24</v>
      </c>
      <c r="C6" s="4" t="s">
        <v>21</v>
      </c>
      <c r="D6" s="6" t="n">
        <v>54.75</v>
      </c>
      <c r="E6" s="6" t="n">
        <v>54.78</v>
      </c>
      <c r="F6" s="6" t="n">
        <v>54.75</v>
      </c>
      <c r="G6" s="14" t="n">
        <f aca="false">D6-E6</f>
        <v>-0.0300000000000011</v>
      </c>
      <c r="H6" s="15" t="n">
        <f aca="false">IF(E6=0,0,ABS(G6/E6))</f>
        <v>0.0005476451259584</v>
      </c>
      <c r="I6" s="14" t="n">
        <f aca="false">D6-F6</f>
        <v>0</v>
      </c>
      <c r="J6" s="15" t="n">
        <f aca="false">IF(F6=0,0,ABS(I6/F6))</f>
        <v>0</v>
      </c>
      <c r="K6" s="4" t="str">
        <f aca="false">IF(AND(H6&lt;=0.005,J6&lt;=0.005),"MATCHED","REVIEW")</f>
        <v>MATCHED</v>
      </c>
      <c r="L6" s="6" t="n">
        <f aca="false">D6</f>
        <v>54.75</v>
      </c>
      <c r="M6" s="4"/>
      <c r="N6" s="4"/>
    </row>
    <row r="7" customFormat="false" ht="15" hidden="false" customHeight="false" outlineLevel="0" collapsed="false">
      <c r="A7" s="4" t="s">
        <v>25</v>
      </c>
      <c r="B7" s="4" t="s">
        <v>26</v>
      </c>
      <c r="C7" s="4" t="s">
        <v>28</v>
      </c>
      <c r="D7" s="6" t="n">
        <v>195.2</v>
      </c>
      <c r="E7" s="6" t="n">
        <v>195.15</v>
      </c>
      <c r="F7" s="6" t="n">
        <v>195.2</v>
      </c>
      <c r="G7" s="14" t="n">
        <f aca="false">D7-E7</f>
        <v>0.049999999999983</v>
      </c>
      <c r="H7" s="15" t="n">
        <f aca="false">IF(E7=0,0,ABS(G7/E7))</f>
        <v>0.000256213169356818</v>
      </c>
      <c r="I7" s="14" t="n">
        <f aca="false">D7-F7</f>
        <v>0</v>
      </c>
      <c r="J7" s="15" t="n">
        <f aca="false">IF(F7=0,0,ABS(I7/F7))</f>
        <v>0</v>
      </c>
      <c r="K7" s="4" t="str">
        <f aca="false">IF(AND(H7&lt;=0.005,J7&lt;=0.005),"MATCHED","REVIEW")</f>
        <v>MATCHED</v>
      </c>
      <c r="L7" s="6" t="n">
        <f aca="false">D7</f>
        <v>195.2</v>
      </c>
      <c r="M7" s="4"/>
      <c r="N7" s="4"/>
    </row>
    <row r="8" customFormat="false" ht="15" hidden="false" customHeight="false" outlineLevel="0" collapsed="false">
      <c r="A8" s="4" t="s">
        <v>29</v>
      </c>
      <c r="B8" s="4" t="s">
        <v>30</v>
      </c>
      <c r="C8" s="4" t="s">
        <v>32</v>
      </c>
      <c r="D8" s="6" t="n">
        <v>182.4</v>
      </c>
      <c r="E8" s="6" t="n">
        <v>182.55</v>
      </c>
      <c r="F8" s="6" t="n">
        <v>182.4</v>
      </c>
      <c r="G8" s="14" t="n">
        <f aca="false">D8-E8</f>
        <v>-0.150000000000006</v>
      </c>
      <c r="H8" s="15" t="n">
        <f aca="false">IF(E8=0,0,ABS(G8/E8))</f>
        <v>0.000821692686935117</v>
      </c>
      <c r="I8" s="14" t="n">
        <f aca="false">D8-F8</f>
        <v>0</v>
      </c>
      <c r="J8" s="15" t="n">
        <f aca="false">IF(F8=0,0,ABS(I8/F8))</f>
        <v>0</v>
      </c>
      <c r="K8" s="4" t="str">
        <f aca="false">IF(AND(H8&lt;=0.005,J8&lt;=0.005),"MATCHED","REVIEW")</f>
        <v>MATCHED</v>
      </c>
      <c r="L8" s="6" t="n">
        <f aca="false">D8</f>
        <v>182.4</v>
      </c>
      <c r="M8" s="4"/>
      <c r="N8" s="4"/>
    </row>
    <row r="9" customFormat="false" ht="15" hidden="false" customHeight="false" outlineLevel="0" collapsed="false">
      <c r="A9" s="4" t="s">
        <v>33</v>
      </c>
      <c r="B9" s="4" t="s">
        <v>34</v>
      </c>
      <c r="C9" s="4" t="s">
        <v>21</v>
      </c>
      <c r="D9" s="6" t="n">
        <v>55.2</v>
      </c>
      <c r="E9" s="6" t="n">
        <v>55.18</v>
      </c>
      <c r="F9" s="6" t="n">
        <v>55.2</v>
      </c>
      <c r="G9" s="14" t="n">
        <f aca="false">D9-E9</f>
        <v>0.0200000000000031</v>
      </c>
      <c r="H9" s="15" t="n">
        <f aca="false">IF(E9=0,0,ABS(G9/E9))</f>
        <v>0.00036245016310263</v>
      </c>
      <c r="I9" s="14" t="n">
        <f aca="false">D9-F9</f>
        <v>0</v>
      </c>
      <c r="J9" s="15" t="n">
        <f aca="false">IF(F9=0,0,ABS(I9/F9))</f>
        <v>0</v>
      </c>
      <c r="K9" s="4" t="str">
        <f aca="false">IF(AND(H9&lt;=0.005,J9&lt;=0.005),"MATCHED","REVIEW")</f>
        <v>MATCHED</v>
      </c>
      <c r="L9" s="6" t="n">
        <f aca="false">D9</f>
        <v>55.2</v>
      </c>
      <c r="M9" s="4"/>
      <c r="N9" s="4"/>
    </row>
    <row r="10" customFormat="false" ht="15" hidden="false" customHeight="false" outlineLevel="0" collapsed="false">
      <c r="A10" s="4" t="s">
        <v>35</v>
      </c>
      <c r="B10" s="4" t="s">
        <v>36</v>
      </c>
      <c r="C10" s="4" t="s">
        <v>21</v>
      </c>
      <c r="D10" s="6" t="n">
        <v>99.15</v>
      </c>
      <c r="E10" s="6" t="n">
        <v>99.12</v>
      </c>
      <c r="F10" s="6" t="n">
        <v>99.1</v>
      </c>
      <c r="G10" s="14" t="n">
        <f aca="false">D10-E10</f>
        <v>0.0300000000000011</v>
      </c>
      <c r="H10" s="15" t="n">
        <f aca="false">IF(E10=0,0,ABS(G10/E10))</f>
        <v>0.00030266343825667</v>
      </c>
      <c r="I10" s="14" t="n">
        <f aca="false">D10-F10</f>
        <v>0.0500000000000114</v>
      </c>
      <c r="J10" s="15" t="n">
        <f aca="false">IF(F10=0,0,ABS(I10/F10))</f>
        <v>0.000504540867810407</v>
      </c>
      <c r="K10" s="4" t="str">
        <f aca="false">IF(AND(H10&lt;=0.005,J10&lt;=0.005),"MATCHED","REVIEW")</f>
        <v>MATCHED</v>
      </c>
      <c r="L10" s="6" t="n">
        <f aca="false">D10</f>
        <v>99.15</v>
      </c>
      <c r="M10" s="4"/>
      <c r="N10" s="4"/>
    </row>
    <row r="11" customFormat="false" ht="15" hidden="false" customHeight="false" outlineLevel="0" collapsed="false">
      <c r="A11" s="4" t="s">
        <v>38</v>
      </c>
      <c r="B11" s="4" t="s">
        <v>39</v>
      </c>
      <c r="C11" s="4" t="s">
        <v>21</v>
      </c>
      <c r="D11" s="6" t="n">
        <v>8.12</v>
      </c>
      <c r="E11" s="6" t="n">
        <v>8.11</v>
      </c>
      <c r="F11" s="6" t="n">
        <v>8.12</v>
      </c>
      <c r="G11" s="14" t="n">
        <f aca="false">D11-E11</f>
        <v>0.00999999999999979</v>
      </c>
      <c r="H11" s="15" t="n">
        <f aca="false">IF(E11=0,0,ABS(G11/E11))</f>
        <v>0.00123304562268801</v>
      </c>
      <c r="I11" s="14" t="n">
        <f aca="false">D11-F11</f>
        <v>0</v>
      </c>
      <c r="J11" s="15" t="n">
        <f aca="false">IF(F11=0,0,ABS(I11/F11))</f>
        <v>0</v>
      </c>
      <c r="K11" s="4" t="str">
        <f aca="false">IF(AND(H11&lt;=0.005,J11&lt;=0.005),"MATCHED","REVIEW")</f>
        <v>MATCHED</v>
      </c>
      <c r="L11" s="6" t="n">
        <f aca="false">D11</f>
        <v>8.12</v>
      </c>
      <c r="M11" s="4"/>
      <c r="N11" s="4"/>
    </row>
    <row r="13" customFormat="false" ht="15" hidden="false" customHeight="false" outlineLevel="0" collapsed="false">
      <c r="A13" s="10" t="s">
        <v>80</v>
      </c>
    </row>
    <row r="14" customFormat="false" ht="23.85" hidden="false" customHeight="false" outlineLevel="0" collapsed="false">
      <c r="A14" s="16" t="s">
        <v>48</v>
      </c>
      <c r="B14" s="16" t="s">
        <v>3</v>
      </c>
      <c r="C14" s="16" t="s">
        <v>81</v>
      </c>
      <c r="D14" s="16" t="s">
        <v>82</v>
      </c>
      <c r="E14" s="16" t="s">
        <v>83</v>
      </c>
      <c r="F14" s="16" t="s">
        <v>84</v>
      </c>
      <c r="G14" s="16" t="s">
        <v>55</v>
      </c>
    </row>
    <row r="15" customFormat="false" ht="15" hidden="false" customHeight="false" outlineLevel="0" collapsed="false">
      <c r="A15" s="4" t="s">
        <v>18</v>
      </c>
      <c r="B15" s="4" t="s">
        <v>19</v>
      </c>
      <c r="C15" s="6" t="n">
        <v>26.82</v>
      </c>
      <c r="D15" s="6" t="n">
        <v>26.5</v>
      </c>
      <c r="E15" s="15" t="n">
        <f aca="false">IF(D15=0,0,(C15-D15)/D15)</f>
        <v>0.0120754716981132</v>
      </c>
      <c r="F15" s="4" t="n">
        <v>0</v>
      </c>
      <c r="G15" s="4" t="s">
        <v>85</v>
      </c>
    </row>
    <row r="16" customFormat="false" ht="15" hidden="false" customHeight="false" outlineLevel="0" collapsed="false">
      <c r="A16" s="4" t="s">
        <v>35</v>
      </c>
      <c r="B16" s="4" t="s">
        <v>36</v>
      </c>
      <c r="C16" s="6" t="n">
        <v>99.15</v>
      </c>
      <c r="D16" s="6" t="n">
        <v>99.15</v>
      </c>
      <c r="E16" s="15" t="n">
        <f aca="false">IF(D16=0,0,(C16-D16)/D16)</f>
        <v>0</v>
      </c>
      <c r="F16" s="4" t="n">
        <v>3</v>
      </c>
      <c r="G16" s="4" t="s">
        <v>86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8" min="5" style="0" width="10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3" min="11" style="0" width="13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2"/>
  </cols>
  <sheetData>
    <row r="1" customFormat="false" ht="17.35" hidden="false" customHeight="false" outlineLevel="0" collapsed="false">
      <c r="A1" s="9" t="s">
        <v>87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customFormat="false" ht="15" hidden="false" customHeight="false" outlineLevel="0" collapsed="false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9.55" hidden="false" customHeight="false" outlineLevel="0" collapsed="false">
      <c r="A4" s="3" t="s">
        <v>89</v>
      </c>
      <c r="B4" s="3" t="s">
        <v>48</v>
      </c>
      <c r="C4" s="3" t="s">
        <v>3</v>
      </c>
      <c r="D4" s="3" t="s">
        <v>90</v>
      </c>
      <c r="E4" s="3" t="s">
        <v>91</v>
      </c>
      <c r="F4" s="3" t="s">
        <v>92</v>
      </c>
      <c r="G4" s="3" t="s">
        <v>93</v>
      </c>
      <c r="H4" s="3" t="s">
        <v>94</v>
      </c>
      <c r="I4" s="3" t="s">
        <v>95</v>
      </c>
      <c r="J4" s="3" t="s">
        <v>96</v>
      </c>
      <c r="K4" s="3" t="s">
        <v>97</v>
      </c>
      <c r="L4" s="3" t="s">
        <v>98</v>
      </c>
      <c r="M4" s="3" t="s">
        <v>99</v>
      </c>
      <c r="N4" s="3" t="s">
        <v>100</v>
      </c>
      <c r="O4" s="3" t="s">
        <v>55</v>
      </c>
      <c r="P4" s="3" t="s">
        <v>101</v>
      </c>
    </row>
    <row r="5" customFormat="false" ht="23.85" hidden="false" customHeight="false" outlineLevel="0" collapsed="false">
      <c r="A5" s="4" t="s">
        <v>102</v>
      </c>
      <c r="B5" s="4" t="s">
        <v>18</v>
      </c>
      <c r="C5" s="4" t="s">
        <v>19</v>
      </c>
      <c r="D5" s="4" t="s">
        <v>103</v>
      </c>
      <c r="E5" s="4" t="s">
        <v>104</v>
      </c>
      <c r="F5" s="4" t="s">
        <v>105</v>
      </c>
      <c r="G5" s="4" t="s">
        <v>106</v>
      </c>
      <c r="H5" s="4" t="s">
        <v>107</v>
      </c>
      <c r="I5" s="4" t="s">
        <v>108</v>
      </c>
      <c r="J5" s="4" t="n">
        <v>150000</v>
      </c>
      <c r="K5" s="5" t="n">
        <f aca="false">J5*0.287</f>
        <v>43050</v>
      </c>
      <c r="L5" s="5" t="n">
        <v>43050</v>
      </c>
      <c r="M5" s="7" t="n">
        <f aca="false">K5-L5</f>
        <v>0</v>
      </c>
      <c r="N5" s="5" t="n">
        <v>43050</v>
      </c>
      <c r="O5" s="4" t="s">
        <v>109</v>
      </c>
      <c r="P5" s="4" t="s">
        <v>110</v>
      </c>
    </row>
    <row r="6" customFormat="false" ht="23.85" hidden="false" customHeight="false" outlineLevel="0" collapsed="false">
      <c r="A6" s="4" t="s">
        <v>111</v>
      </c>
      <c r="B6" s="4" t="s">
        <v>23</v>
      </c>
      <c r="C6" s="4" t="s">
        <v>24</v>
      </c>
      <c r="D6" s="4" t="s">
        <v>103</v>
      </c>
      <c r="E6" s="4" t="s">
        <v>112</v>
      </c>
      <c r="F6" s="4" t="s">
        <v>113</v>
      </c>
      <c r="G6" s="4" t="s">
        <v>114</v>
      </c>
      <c r="H6" s="4" t="s">
        <v>115</v>
      </c>
      <c r="I6" s="4" t="s">
        <v>116</v>
      </c>
      <c r="J6" s="4" t="n">
        <v>85000</v>
      </c>
      <c r="K6" s="5" t="n">
        <f aca="false">J6*2.25</f>
        <v>191250</v>
      </c>
      <c r="L6" s="5" t="n">
        <v>191250</v>
      </c>
      <c r="M6" s="7" t="n">
        <f aca="false">K6-L6</f>
        <v>0</v>
      </c>
      <c r="N6" s="5" t="n">
        <v>150380</v>
      </c>
      <c r="O6" s="4" t="s">
        <v>109</v>
      </c>
      <c r="P6" s="4" t="s">
        <v>117</v>
      </c>
    </row>
    <row r="7" customFormat="false" ht="23.85" hidden="false" customHeight="false" outlineLevel="0" collapsed="false">
      <c r="A7" s="4" t="s">
        <v>118</v>
      </c>
      <c r="B7" s="4" t="s">
        <v>33</v>
      </c>
      <c r="C7" s="4" t="s">
        <v>34</v>
      </c>
      <c r="D7" s="4" t="s">
        <v>119</v>
      </c>
      <c r="E7" s="4" t="s">
        <v>120</v>
      </c>
      <c r="F7" s="4" t="s">
        <v>121</v>
      </c>
      <c r="G7" s="4" t="s">
        <v>122</v>
      </c>
      <c r="H7" s="4" t="s">
        <v>123</v>
      </c>
      <c r="I7" s="4" t="s">
        <v>124</v>
      </c>
      <c r="J7" s="4" t="n">
        <v>60000</v>
      </c>
      <c r="K7" s="5" t="n">
        <f aca="false">J7/120</f>
        <v>500</v>
      </c>
      <c r="L7" s="5" t="n">
        <v>500</v>
      </c>
      <c r="M7" s="7" t="n">
        <f aca="false">K7-L7</f>
        <v>0</v>
      </c>
      <c r="N7" s="4"/>
      <c r="O7" s="4" t="s">
        <v>125</v>
      </c>
      <c r="P7" s="4" t="s">
        <v>126</v>
      </c>
    </row>
    <row r="8" customFormat="false" ht="23.85" hidden="false" customHeight="false" outlineLevel="0" collapsed="false">
      <c r="A8" s="4" t="s">
        <v>127</v>
      </c>
      <c r="B8" s="4" t="s">
        <v>25</v>
      </c>
      <c r="C8" s="4" t="s">
        <v>26</v>
      </c>
      <c r="D8" s="4" t="s">
        <v>128</v>
      </c>
      <c r="E8" s="4" t="s">
        <v>129</v>
      </c>
      <c r="F8" s="4" t="s">
        <v>130</v>
      </c>
      <c r="G8" s="4" t="s">
        <v>131</v>
      </c>
      <c r="H8" s="4" t="s">
        <v>130</v>
      </c>
      <c r="I8" s="4" t="s">
        <v>132</v>
      </c>
      <c r="J8" s="4" t="n">
        <v>10000</v>
      </c>
      <c r="K8" s="5" t="n">
        <f aca="false">J8*4</f>
        <v>40000</v>
      </c>
      <c r="L8" s="5" t="n">
        <v>40000</v>
      </c>
      <c r="M8" s="7" t="n">
        <f aca="false">K8-L8</f>
        <v>0</v>
      </c>
      <c r="N8" s="4" t="s">
        <v>133</v>
      </c>
      <c r="O8" s="4" t="s">
        <v>109</v>
      </c>
      <c r="P8" s="4" t="s">
        <v>134</v>
      </c>
    </row>
    <row r="9" customFormat="false" ht="23.85" hidden="false" customHeight="false" outlineLevel="0" collapsed="false">
      <c r="A9" s="4" t="s">
        <v>135</v>
      </c>
      <c r="B9" s="4" t="s">
        <v>35</v>
      </c>
      <c r="C9" s="4" t="s">
        <v>36</v>
      </c>
      <c r="D9" s="4" t="s">
        <v>136</v>
      </c>
      <c r="E9" s="4" t="s">
        <v>137</v>
      </c>
      <c r="F9" s="4" t="s">
        <v>138</v>
      </c>
      <c r="G9" s="4" t="s">
        <v>138</v>
      </c>
      <c r="H9" s="4" t="s">
        <v>138</v>
      </c>
      <c r="I9" s="4" t="s">
        <v>139</v>
      </c>
      <c r="J9" s="4" t="n">
        <v>5000000</v>
      </c>
      <c r="K9" s="5" t="n">
        <f aca="false">J9*0.035/2</f>
        <v>87500</v>
      </c>
      <c r="L9" s="5" t="n">
        <v>87500</v>
      </c>
      <c r="M9" s="7" t="n">
        <f aca="false">K9-L9</f>
        <v>0</v>
      </c>
      <c r="N9" s="5" t="n">
        <v>87500</v>
      </c>
      <c r="O9" s="4" t="s">
        <v>109</v>
      </c>
      <c r="P9" s="4" t="s">
        <v>140</v>
      </c>
    </row>
    <row r="10" customFormat="false" ht="23.85" hidden="false" customHeight="false" outlineLevel="0" collapsed="false">
      <c r="A10" s="4" t="s">
        <v>141</v>
      </c>
      <c r="B10" s="4" t="s">
        <v>29</v>
      </c>
      <c r="C10" s="4" t="s">
        <v>30</v>
      </c>
      <c r="D10" s="4" t="s">
        <v>142</v>
      </c>
      <c r="E10" s="4" t="s">
        <v>143</v>
      </c>
      <c r="F10" s="4" t="s">
        <v>144</v>
      </c>
      <c r="G10" s="4" t="s">
        <v>145</v>
      </c>
      <c r="H10" s="4" t="s">
        <v>146</v>
      </c>
      <c r="I10" s="4" t="s">
        <v>147</v>
      </c>
      <c r="J10" s="4" t="n">
        <v>25000</v>
      </c>
      <c r="K10" s="5" t="n">
        <f aca="false">J10/10</f>
        <v>2500</v>
      </c>
      <c r="L10" s="5" t="n">
        <v>2500</v>
      </c>
      <c r="M10" s="7" t="n">
        <f aca="false">K10-L10</f>
        <v>0</v>
      </c>
      <c r="N10" s="5" t="n">
        <v>2500</v>
      </c>
      <c r="O10" s="4" t="s">
        <v>148</v>
      </c>
      <c r="P10" s="4" t="s">
        <v>149</v>
      </c>
    </row>
    <row r="12" customFormat="false" ht="15" hidden="false" customHeight="false" outlineLevel="0" collapsed="false">
      <c r="A12" s="10" t="s">
        <v>150</v>
      </c>
    </row>
    <row r="13" customFormat="false" ht="23.85" hidden="false" customHeight="false" outlineLevel="0" collapsed="false">
      <c r="A13" s="16" t="s">
        <v>151</v>
      </c>
      <c r="B13" s="16" t="s">
        <v>152</v>
      </c>
      <c r="C13" s="16" t="s">
        <v>153</v>
      </c>
      <c r="D13" s="16" t="s">
        <v>154</v>
      </c>
      <c r="E13" s="16" t="s">
        <v>155</v>
      </c>
      <c r="F13" s="16" t="s">
        <v>156</v>
      </c>
    </row>
    <row r="14" customFormat="false" ht="46.25" hidden="false" customHeight="false" outlineLevel="0" collapsed="false">
      <c r="A14" s="4" t="s">
        <v>157</v>
      </c>
      <c r="B14" s="4" t="s">
        <v>158</v>
      </c>
      <c r="C14" s="4" t="s">
        <v>159</v>
      </c>
      <c r="D14" s="4" t="s">
        <v>160</v>
      </c>
      <c r="E14" s="4" t="s">
        <v>161</v>
      </c>
      <c r="F14" s="4" t="s">
        <v>162</v>
      </c>
    </row>
    <row r="15" customFormat="false" ht="35.05" hidden="false" customHeight="false" outlineLevel="0" collapsed="false">
      <c r="A15" s="4" t="s">
        <v>163</v>
      </c>
      <c r="B15" s="4" t="s">
        <v>164</v>
      </c>
      <c r="C15" s="4" t="s">
        <v>159</v>
      </c>
      <c r="D15" s="4" t="s">
        <v>160</v>
      </c>
      <c r="E15" s="4" t="s">
        <v>165</v>
      </c>
      <c r="F15" s="4" t="s">
        <v>166</v>
      </c>
    </row>
    <row r="16" customFormat="false" ht="35.05" hidden="false" customHeight="false" outlineLevel="0" collapsed="false">
      <c r="A16" s="4" t="s">
        <v>167</v>
      </c>
      <c r="B16" s="4" t="s">
        <v>168</v>
      </c>
      <c r="C16" s="4" t="s">
        <v>169</v>
      </c>
      <c r="D16" s="4" t="s">
        <v>160</v>
      </c>
      <c r="E16" s="4" t="s">
        <v>165</v>
      </c>
      <c r="F16" s="4" t="s">
        <v>170</v>
      </c>
    </row>
    <row r="17" customFormat="false" ht="35.05" hidden="false" customHeight="false" outlineLevel="0" collapsed="false">
      <c r="A17" s="4" t="s">
        <v>171</v>
      </c>
      <c r="B17" s="4" t="s">
        <v>172</v>
      </c>
      <c r="C17" s="4" t="s">
        <v>173</v>
      </c>
      <c r="D17" s="4" t="s">
        <v>160</v>
      </c>
      <c r="E17" s="4" t="s">
        <v>174</v>
      </c>
      <c r="F17" s="4" t="s">
        <v>175</v>
      </c>
    </row>
    <row r="18" customFormat="false" ht="46.25" hidden="false" customHeight="false" outlineLevel="0" collapsed="false">
      <c r="A18" s="4" t="s">
        <v>176</v>
      </c>
      <c r="B18" s="4" t="s">
        <v>177</v>
      </c>
      <c r="C18" s="4" t="s">
        <v>159</v>
      </c>
      <c r="D18" s="4" t="s">
        <v>160</v>
      </c>
      <c r="E18" s="4" t="s">
        <v>178</v>
      </c>
      <c r="F18" s="4" t="s">
        <v>170</v>
      </c>
    </row>
    <row r="19" customFormat="false" ht="35.05" hidden="false" customHeight="false" outlineLevel="0" collapsed="false">
      <c r="A19" s="4" t="s">
        <v>179</v>
      </c>
      <c r="B19" s="4" t="s">
        <v>180</v>
      </c>
      <c r="C19" s="4" t="s">
        <v>159</v>
      </c>
      <c r="D19" s="4" t="s">
        <v>160</v>
      </c>
      <c r="E19" s="4" t="s">
        <v>178</v>
      </c>
      <c r="F19" s="4" t="s">
        <v>181</v>
      </c>
    </row>
    <row r="20" customFormat="false" ht="35.05" hidden="false" customHeight="false" outlineLevel="0" collapsed="false">
      <c r="A20" s="4" t="s">
        <v>182</v>
      </c>
      <c r="B20" s="4" t="s">
        <v>183</v>
      </c>
      <c r="C20" s="4" t="s">
        <v>184</v>
      </c>
      <c r="D20" s="4" t="s">
        <v>160</v>
      </c>
      <c r="E20" s="4" t="s">
        <v>178</v>
      </c>
      <c r="F20" s="4" t="s">
        <v>185</v>
      </c>
    </row>
    <row r="21" customFormat="false" ht="57.45" hidden="false" customHeight="false" outlineLevel="0" collapsed="false">
      <c r="A21" s="4" t="s">
        <v>186</v>
      </c>
      <c r="B21" s="4" t="s">
        <v>187</v>
      </c>
      <c r="C21" s="4" t="s">
        <v>188</v>
      </c>
      <c r="D21" s="4" t="s">
        <v>189</v>
      </c>
      <c r="E21" s="4"/>
      <c r="F21" s="4" t="s">
        <v>190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25"/>
    <col collapsed="false" customWidth="true" hidden="false" outlineLevel="0" max="5" min="5" style="0" width="35"/>
  </cols>
  <sheetData>
    <row r="1" customFormat="false" ht="17.35" hidden="false" customHeight="false" outlineLevel="0" collapsed="false">
      <c r="A1" s="9" t="s">
        <v>191</v>
      </c>
      <c r="B1" s="9"/>
      <c r="C1" s="9"/>
      <c r="D1" s="9"/>
      <c r="E1" s="9"/>
    </row>
    <row r="3" customFormat="false" ht="26.85" hidden="false" customHeight="false" outlineLevel="0" collapsed="false">
      <c r="A3" s="3" t="s">
        <v>192</v>
      </c>
      <c r="B3" s="3" t="s">
        <v>193</v>
      </c>
      <c r="C3" s="3" t="s">
        <v>194</v>
      </c>
      <c r="D3" s="3" t="s">
        <v>195</v>
      </c>
      <c r="E3" s="3" t="s">
        <v>196</v>
      </c>
    </row>
    <row r="4" customFormat="false" ht="35.05" hidden="false" customHeight="false" outlineLevel="0" collapsed="false">
      <c r="A4" s="4" t="s">
        <v>197</v>
      </c>
      <c r="B4" s="4" t="s">
        <v>198</v>
      </c>
      <c r="C4" s="4" t="s">
        <v>199</v>
      </c>
      <c r="D4" s="4" t="s">
        <v>200</v>
      </c>
      <c r="E4" s="4" t="s">
        <v>201</v>
      </c>
    </row>
    <row r="5" customFormat="false" ht="23.85" hidden="false" customHeight="false" outlineLevel="0" collapsed="false">
      <c r="A5" s="4" t="s">
        <v>202</v>
      </c>
      <c r="B5" s="4" t="s">
        <v>198</v>
      </c>
      <c r="C5" s="4" t="s">
        <v>203</v>
      </c>
      <c r="D5" s="4" t="s">
        <v>204</v>
      </c>
      <c r="E5" s="4" t="s">
        <v>205</v>
      </c>
    </row>
    <row r="6" customFormat="false" ht="23.85" hidden="false" customHeight="false" outlineLevel="0" collapsed="false">
      <c r="A6" s="4" t="s">
        <v>206</v>
      </c>
      <c r="B6" s="4" t="s">
        <v>198</v>
      </c>
      <c r="C6" s="4" t="s">
        <v>207</v>
      </c>
      <c r="D6" s="4" t="s">
        <v>208</v>
      </c>
      <c r="E6" s="4" t="s">
        <v>209</v>
      </c>
    </row>
    <row r="7" customFormat="false" ht="35.05" hidden="false" customHeight="false" outlineLevel="0" collapsed="false">
      <c r="A7" s="4" t="s">
        <v>210</v>
      </c>
      <c r="B7" s="4" t="s">
        <v>211</v>
      </c>
      <c r="C7" s="4" t="s">
        <v>212</v>
      </c>
      <c r="D7" s="4" t="s">
        <v>213</v>
      </c>
      <c r="E7" s="4" t="s">
        <v>214</v>
      </c>
    </row>
    <row r="8" customFormat="false" ht="23.85" hidden="false" customHeight="false" outlineLevel="0" collapsed="false">
      <c r="A8" s="4" t="s">
        <v>215</v>
      </c>
      <c r="B8" s="4" t="s">
        <v>211</v>
      </c>
      <c r="C8" s="4" t="s">
        <v>216</v>
      </c>
      <c r="D8" s="4" t="s">
        <v>204</v>
      </c>
      <c r="E8" s="4" t="s">
        <v>217</v>
      </c>
    </row>
    <row r="9" customFormat="false" ht="23.85" hidden="false" customHeight="false" outlineLevel="0" collapsed="false">
      <c r="A9" s="4" t="s">
        <v>162</v>
      </c>
      <c r="B9" s="4" t="s">
        <v>211</v>
      </c>
      <c r="C9" s="4" t="s">
        <v>218</v>
      </c>
      <c r="D9" s="4" t="s">
        <v>219</v>
      </c>
      <c r="E9" s="4" t="s">
        <v>220</v>
      </c>
    </row>
    <row r="10" customFormat="false" ht="23.85" hidden="false" customHeight="false" outlineLevel="0" collapsed="false">
      <c r="A10" s="4" t="s">
        <v>175</v>
      </c>
      <c r="B10" s="4" t="s">
        <v>211</v>
      </c>
      <c r="C10" s="4" t="s">
        <v>221</v>
      </c>
      <c r="D10" s="4" t="s">
        <v>222</v>
      </c>
      <c r="E10" s="4" t="s">
        <v>223</v>
      </c>
    </row>
    <row r="11" customFormat="false" ht="23.85" hidden="false" customHeight="false" outlineLevel="0" collapsed="false">
      <c r="A11" s="4" t="s">
        <v>224</v>
      </c>
      <c r="B11" s="4" t="s">
        <v>211</v>
      </c>
      <c r="C11" s="4" t="s">
        <v>225</v>
      </c>
      <c r="D11" s="4" t="s">
        <v>222</v>
      </c>
      <c r="E11" s="4" t="s">
        <v>226</v>
      </c>
    </row>
    <row r="12" customFormat="false" ht="23.85" hidden="false" customHeight="false" outlineLevel="0" collapsed="false">
      <c r="A12" s="4" t="s">
        <v>227</v>
      </c>
      <c r="B12" s="4" t="s">
        <v>228</v>
      </c>
      <c r="C12" s="4" t="s">
        <v>229</v>
      </c>
      <c r="D12" s="4" t="s">
        <v>230</v>
      </c>
      <c r="E12" s="4" t="s">
        <v>231</v>
      </c>
    </row>
    <row r="13" customFormat="false" ht="23.85" hidden="false" customHeight="false" outlineLevel="0" collapsed="false">
      <c r="A13" s="4" t="s">
        <v>170</v>
      </c>
      <c r="B13" s="4" t="s">
        <v>228</v>
      </c>
      <c r="C13" s="4" t="s">
        <v>232</v>
      </c>
      <c r="D13" s="4" t="s">
        <v>233</v>
      </c>
      <c r="E13" s="4" t="s">
        <v>234</v>
      </c>
    </row>
    <row r="14" customFormat="false" ht="23.85" hidden="false" customHeight="false" outlineLevel="0" collapsed="false">
      <c r="A14" s="4" t="s">
        <v>235</v>
      </c>
      <c r="B14" s="4" t="s">
        <v>228</v>
      </c>
      <c r="C14" s="4" t="s">
        <v>236</v>
      </c>
      <c r="D14" s="4" t="s">
        <v>237</v>
      </c>
      <c r="E14" s="4" t="s">
        <v>238</v>
      </c>
    </row>
    <row r="15" customFormat="false" ht="23.85" hidden="false" customHeight="false" outlineLevel="0" collapsed="false">
      <c r="A15" s="4" t="s">
        <v>185</v>
      </c>
      <c r="B15" s="4" t="s">
        <v>239</v>
      </c>
      <c r="C15" s="4" t="s">
        <v>240</v>
      </c>
      <c r="D15" s="4" t="s">
        <v>241</v>
      </c>
      <c r="E15" s="4" t="s">
        <v>242</v>
      </c>
    </row>
    <row r="16" customFormat="false" ht="23.85" hidden="false" customHeight="false" outlineLevel="0" collapsed="false">
      <c r="A16" s="4" t="s">
        <v>243</v>
      </c>
      <c r="B16" s="4" t="s">
        <v>244</v>
      </c>
      <c r="C16" s="4" t="s">
        <v>245</v>
      </c>
      <c r="D16" s="4" t="s">
        <v>246</v>
      </c>
      <c r="E16" s="4" t="s">
        <v>247</v>
      </c>
    </row>
    <row r="17" customFormat="false" ht="23.85" hidden="false" customHeight="false" outlineLevel="0" collapsed="false">
      <c r="A17" s="4" t="s">
        <v>248</v>
      </c>
      <c r="B17" s="4" t="s">
        <v>249</v>
      </c>
      <c r="C17" s="4" t="s">
        <v>250</v>
      </c>
      <c r="D17" s="4" t="s">
        <v>222</v>
      </c>
      <c r="E17" s="4" t="s">
        <v>251</v>
      </c>
    </row>
    <row r="18" customFormat="false" ht="23.85" hidden="false" customHeight="false" outlineLevel="0" collapsed="false">
      <c r="A18" s="4" t="s">
        <v>252</v>
      </c>
      <c r="B18" s="4" t="s">
        <v>253</v>
      </c>
      <c r="C18" s="4" t="s">
        <v>254</v>
      </c>
      <c r="D18" s="4" t="s">
        <v>255</v>
      </c>
      <c r="E18" s="4" t="s">
        <v>256</v>
      </c>
    </row>
    <row r="19" customFormat="false" ht="23.85" hidden="false" customHeight="false" outlineLevel="0" collapsed="false">
      <c r="A19" s="4" t="s">
        <v>257</v>
      </c>
      <c r="B19" s="4" t="s">
        <v>258</v>
      </c>
      <c r="C19" s="4" t="s">
        <v>259</v>
      </c>
      <c r="D19" s="4" t="s">
        <v>260</v>
      </c>
      <c r="E19" s="4" t="s">
        <v>261</v>
      </c>
    </row>
    <row r="20" customFormat="false" ht="23.85" hidden="false" customHeight="false" outlineLevel="0" collapsed="false">
      <c r="A20" s="4" t="s">
        <v>262</v>
      </c>
      <c r="B20" s="4" t="s">
        <v>249</v>
      </c>
      <c r="C20" s="4" t="s">
        <v>263</v>
      </c>
      <c r="D20" s="4" t="s">
        <v>264</v>
      </c>
      <c r="E20" s="4" t="s">
        <v>265</v>
      </c>
    </row>
    <row r="21" customFormat="false" ht="23.85" hidden="false" customHeight="false" outlineLevel="0" collapsed="false">
      <c r="A21" s="4" t="s">
        <v>266</v>
      </c>
      <c r="B21" s="4" t="s">
        <v>253</v>
      </c>
      <c r="C21" s="4" t="s">
        <v>267</v>
      </c>
      <c r="D21" s="4" t="s">
        <v>222</v>
      </c>
      <c r="E21" s="4" t="s">
        <v>268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5" min="3" style="0" width="14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9" t="s">
        <v>269</v>
      </c>
      <c r="B1" s="9"/>
      <c r="C1" s="9"/>
      <c r="D1" s="9"/>
      <c r="E1" s="9"/>
      <c r="F1" s="9"/>
    </row>
    <row r="3" customFormat="false" ht="26.85" hidden="false" customHeight="false" outlineLevel="0" collapsed="false">
      <c r="A3" s="3" t="s">
        <v>270</v>
      </c>
      <c r="B3" s="3" t="s">
        <v>271</v>
      </c>
      <c r="C3" s="3" t="s">
        <v>272</v>
      </c>
      <c r="D3" s="3" t="s">
        <v>273</v>
      </c>
      <c r="E3" s="3" t="s">
        <v>156</v>
      </c>
      <c r="F3" s="3" t="s">
        <v>274</v>
      </c>
    </row>
    <row r="4" customFormat="false" ht="23.85" hidden="false" customHeight="false" outlineLevel="0" collapsed="false">
      <c r="A4" s="4" t="s">
        <v>275</v>
      </c>
      <c r="B4" s="4" t="s">
        <v>276</v>
      </c>
      <c r="C4" s="4" t="s">
        <v>277</v>
      </c>
      <c r="D4" s="4" t="s">
        <v>278</v>
      </c>
      <c r="E4" s="4" t="s">
        <v>279</v>
      </c>
      <c r="F4" s="4" t="s">
        <v>280</v>
      </c>
    </row>
    <row r="5" customFormat="false" ht="23.85" hidden="false" customHeight="false" outlineLevel="0" collapsed="false">
      <c r="A5" s="4" t="s">
        <v>281</v>
      </c>
      <c r="B5" s="4" t="s">
        <v>282</v>
      </c>
      <c r="C5" s="4" t="s">
        <v>283</v>
      </c>
      <c r="D5" s="4" t="s">
        <v>284</v>
      </c>
      <c r="E5" s="4" t="s">
        <v>285</v>
      </c>
      <c r="F5" s="4" t="s">
        <v>286</v>
      </c>
    </row>
    <row r="6" customFormat="false" ht="23.85" hidden="false" customHeight="false" outlineLevel="0" collapsed="false">
      <c r="A6" s="4" t="s">
        <v>287</v>
      </c>
      <c r="B6" s="4" t="s">
        <v>288</v>
      </c>
      <c r="C6" s="4" t="s">
        <v>289</v>
      </c>
      <c r="D6" s="4" t="s">
        <v>290</v>
      </c>
      <c r="E6" s="4" t="s">
        <v>291</v>
      </c>
      <c r="F6" s="4" t="s">
        <v>292</v>
      </c>
    </row>
    <row r="7" customFormat="false" ht="23.85" hidden="false" customHeight="false" outlineLevel="0" collapsed="false">
      <c r="A7" s="4" t="s">
        <v>293</v>
      </c>
      <c r="B7" s="4" t="s">
        <v>294</v>
      </c>
      <c r="C7" s="4" t="s">
        <v>283</v>
      </c>
      <c r="D7" s="4" t="s">
        <v>295</v>
      </c>
      <c r="E7" s="4" t="s">
        <v>185</v>
      </c>
      <c r="F7" s="4" t="s">
        <v>296</v>
      </c>
    </row>
    <row r="8" customFormat="false" ht="23.85" hidden="false" customHeight="false" outlineLevel="0" collapsed="false">
      <c r="A8" s="4" t="s">
        <v>297</v>
      </c>
      <c r="B8" s="4" t="s">
        <v>298</v>
      </c>
      <c r="C8" s="4" t="s">
        <v>299</v>
      </c>
      <c r="D8" s="4" t="s">
        <v>159</v>
      </c>
      <c r="E8" s="4" t="s">
        <v>300</v>
      </c>
      <c r="F8" s="4" t="s">
        <v>301</v>
      </c>
    </row>
    <row r="9" customFormat="false" ht="23.85" hidden="false" customHeight="false" outlineLevel="0" collapsed="false">
      <c r="A9" s="4" t="s">
        <v>302</v>
      </c>
      <c r="B9" s="4" t="s">
        <v>303</v>
      </c>
      <c r="C9" s="4" t="s">
        <v>283</v>
      </c>
      <c r="D9" s="4" t="s">
        <v>304</v>
      </c>
      <c r="E9" s="4" t="s">
        <v>305</v>
      </c>
      <c r="F9" s="4" t="s">
        <v>306</v>
      </c>
    </row>
    <row r="10" customFormat="false" ht="23.85" hidden="false" customHeight="false" outlineLevel="0" collapsed="false">
      <c r="A10" s="4" t="s">
        <v>307</v>
      </c>
      <c r="B10" s="4" t="s">
        <v>308</v>
      </c>
      <c r="C10" s="4" t="s">
        <v>277</v>
      </c>
      <c r="D10" s="4" t="s">
        <v>159</v>
      </c>
      <c r="E10" s="4" t="s">
        <v>309</v>
      </c>
      <c r="F10" s="4" t="s">
        <v>310</v>
      </c>
    </row>
    <row r="11" customFormat="false" ht="23.85" hidden="false" customHeight="false" outlineLevel="0" collapsed="false">
      <c r="A11" s="4" t="s">
        <v>311</v>
      </c>
      <c r="B11" s="4" t="s">
        <v>312</v>
      </c>
      <c r="C11" s="4" t="s">
        <v>313</v>
      </c>
      <c r="D11" s="4" t="s">
        <v>304</v>
      </c>
      <c r="E11" s="4" t="s">
        <v>314</v>
      </c>
      <c r="F11" s="4" t="s">
        <v>315</v>
      </c>
    </row>
    <row r="12" customFormat="false" ht="23.85" hidden="false" customHeight="false" outlineLevel="0" collapsed="false">
      <c r="A12" s="4" t="s">
        <v>316</v>
      </c>
      <c r="B12" s="4" t="s">
        <v>317</v>
      </c>
      <c r="C12" s="4" t="s">
        <v>283</v>
      </c>
      <c r="D12" s="4" t="s">
        <v>290</v>
      </c>
      <c r="E12" s="4" t="s">
        <v>185</v>
      </c>
      <c r="F12" s="4" t="s">
        <v>318</v>
      </c>
    </row>
    <row r="13" customFormat="false" ht="23.85" hidden="false" customHeight="false" outlineLevel="0" collapsed="false">
      <c r="A13" s="4" t="s">
        <v>319</v>
      </c>
      <c r="B13" s="4" t="s">
        <v>320</v>
      </c>
      <c r="C13" s="4" t="s">
        <v>283</v>
      </c>
      <c r="D13" s="4" t="s">
        <v>188</v>
      </c>
      <c r="E13" s="4" t="s">
        <v>321</v>
      </c>
      <c r="F13" s="4" t="s">
        <v>322</v>
      </c>
    </row>
    <row r="14" customFormat="false" ht="23.85" hidden="false" customHeight="false" outlineLevel="0" collapsed="false">
      <c r="A14" s="4" t="s">
        <v>323</v>
      </c>
      <c r="B14" s="4" t="s">
        <v>324</v>
      </c>
      <c r="C14" s="4" t="s">
        <v>325</v>
      </c>
      <c r="D14" s="4" t="s">
        <v>326</v>
      </c>
      <c r="E14" s="4" t="s">
        <v>327</v>
      </c>
      <c r="F14" s="4" t="s">
        <v>328</v>
      </c>
    </row>
    <row r="15" customFormat="false" ht="35.05" hidden="false" customHeight="false" outlineLevel="0" collapsed="false">
      <c r="A15" s="4" t="s">
        <v>329</v>
      </c>
      <c r="B15" s="4" t="s">
        <v>330</v>
      </c>
      <c r="C15" s="4" t="s">
        <v>331</v>
      </c>
      <c r="D15" s="4" t="s">
        <v>332</v>
      </c>
      <c r="E15" s="4" t="s">
        <v>333</v>
      </c>
      <c r="F15" s="4" t="s">
        <v>334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9" t="s">
        <v>335</v>
      </c>
      <c r="B1" s="9"/>
      <c r="C1" s="9"/>
      <c r="D1" s="9"/>
    </row>
    <row r="3" customFormat="false" ht="15" hidden="false" customHeight="false" outlineLevel="0" collapsed="false">
      <c r="A3" s="12" t="s">
        <v>336</v>
      </c>
      <c r="B3" s="12" t="s">
        <v>337</v>
      </c>
    </row>
    <row r="4" customFormat="false" ht="15" hidden="false" customHeight="false" outlineLevel="0" collapsed="false">
      <c r="A4" s="17" t="s">
        <v>338</v>
      </c>
      <c r="B4" s="18" t="s">
        <v>339</v>
      </c>
    </row>
    <row r="5" customFormat="false" ht="15" hidden="false" customHeight="false" outlineLevel="0" collapsed="false">
      <c r="A5" s="17" t="s">
        <v>340</v>
      </c>
      <c r="B5" s="18" t="s">
        <v>341</v>
      </c>
    </row>
    <row r="6" customFormat="false" ht="15" hidden="false" customHeight="false" outlineLevel="0" collapsed="false">
      <c r="A6" s="17" t="s">
        <v>342</v>
      </c>
      <c r="B6" s="18" t="s">
        <v>343</v>
      </c>
    </row>
    <row r="7" customFormat="false" ht="15" hidden="false" customHeight="false" outlineLevel="0" collapsed="false">
      <c r="A7" s="17" t="s">
        <v>344</v>
      </c>
      <c r="B7" s="18" t="s">
        <v>345</v>
      </c>
    </row>
    <row r="8" customFormat="false" ht="15" hidden="false" customHeight="false" outlineLevel="0" collapsed="false">
      <c r="A8" s="17" t="s">
        <v>346</v>
      </c>
      <c r="B8" s="18" t="s">
        <v>347</v>
      </c>
    </row>
    <row r="9" customFormat="false" ht="15" hidden="false" customHeight="false" outlineLevel="0" collapsed="false">
      <c r="A9" s="17" t="s">
        <v>348</v>
      </c>
      <c r="B9" s="18" t="s">
        <v>349</v>
      </c>
    </row>
    <row r="12" customFormat="false" ht="15" hidden="false" customHeight="false" outlineLevel="0" collapsed="false">
      <c r="A12" s="10" t="s">
        <v>350</v>
      </c>
    </row>
    <row r="13" customFormat="false" ht="15" hidden="false" customHeight="false" outlineLevel="0" collapsed="false">
      <c r="A13" s="19" t="s">
        <v>351</v>
      </c>
      <c r="B13" s="11" t="s">
        <v>352</v>
      </c>
    </row>
    <row r="14" customFormat="false" ht="15" hidden="false" customHeight="false" outlineLevel="0" collapsed="false">
      <c r="A14" s="20" t="s">
        <v>353</v>
      </c>
      <c r="B14" s="11" t="s">
        <v>354</v>
      </c>
    </row>
    <row r="15" customFormat="false" ht="15" hidden="false" customHeight="false" outlineLevel="0" collapsed="false">
      <c r="A15" s="21" t="s">
        <v>355</v>
      </c>
      <c r="B15" s="11" t="s">
        <v>356</v>
      </c>
    </row>
    <row r="16" customFormat="false" ht="15" hidden="false" customHeight="false" outlineLevel="0" collapsed="false">
      <c r="A16" s="22" t="s">
        <v>357</v>
      </c>
      <c r="B16" s="11" t="s">
        <v>358</v>
      </c>
    </row>
    <row r="18" customFormat="false" ht="15" hidden="false" customHeight="false" outlineLevel="0" collapsed="false">
      <c r="A18" s="10" t="s">
        <v>359</v>
      </c>
    </row>
    <row r="19" customFormat="false" ht="15" hidden="false" customHeight="false" outlineLevel="0" collapsed="false">
      <c r="A19" s="23" t="s">
        <v>360</v>
      </c>
      <c r="B19" s="11" t="s">
        <v>361</v>
      </c>
    </row>
    <row r="20" customFormat="false" ht="15" hidden="false" customHeight="false" outlineLevel="0" collapsed="false">
      <c r="A20" s="24" t="s">
        <v>362</v>
      </c>
      <c r="B20" s="11" t="s">
        <v>363</v>
      </c>
    </row>
    <row r="21" customFormat="false" ht="15" hidden="false" customHeight="false" outlineLevel="0" collapsed="false">
      <c r="A21" s="25" t="s">
        <v>364</v>
      </c>
      <c r="B21" s="11" t="s">
        <v>365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2026-09-15T08:34:04Z</dcterms:created>
  <dc:creator>openpyxl</dc:creator>
  <dc:description/>
  <dc:language>en-US</dc:language>
  <cp:lastModifiedBy/>
  <dcterms:modified xsi:type="dcterms:W3CDTF">2026-09-15T08:34:04Z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